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днс\Desktop\"/>
    </mc:Choice>
  </mc:AlternateContent>
  <xr:revisionPtr revIDLastSave="0" documentId="13_ncr:1_{A2335219-5123-4CE1-85A5-52097B7DBB90}" xr6:coauthVersionLast="47" xr6:coauthVersionMax="47" xr10:uidLastSave="{00000000-0000-0000-0000-000000000000}"/>
  <bookViews>
    <workbookView xWindow="-120" yWindow="-120" windowWidth="20730" windowHeight="11160" xr2:uid="{EB9E5674-D5C9-4037-BC23-65906B87886F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  <c r="C4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<sst xmlns="http://schemas.openxmlformats.org/spreadsheetml/2006/main" count="12" uniqueCount="11">
  <si>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</si>
  <si>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</si>
  <si>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</si>
  <si>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</si>
  <si>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</si>
  <si>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</si>
  <si>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</si>
  <si>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</si>
  <si>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T_start</t>
  </si>
  <si>
    <t>T_end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</si>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</sst>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0.0000"/>
    <numFmt numFmtId="166" formatCode="0.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5" fontId="0" fillId="0" borderId="1" xfId="0" applyNumberFormat="1" applyBorder="1" applyAlignment="1">
      <alignment horizontal="center"/>
    </xf>
    <xf numFmtId="166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Лист1!$F$12:$AJ$12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6C-4148-A3B9-74DC8D893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1427256"/>
        <c:axId val="551424056"/>
      </c:scatterChart>
      <c:valAx>
        <c:axId val="551427256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1424056"/>
        <c:crosses val="autoZero"/>
        <c:crossBetween val="midCat"/>
      </c:valAx>
      <c:valAx>
        <c:axId val="5514240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5142725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66674</xdr:colOff>
      <xdr:row>18</xdr:row>
      <xdr:rowOff>180974</xdr:rowOff>
    </xdr:from>
    <xdr:to>
      <xdr:col>17</xdr:col>
      <xdr:colOff>76200</xdr:colOff>
      <xdr:row>49</xdr:row>
      <xdr:rowOff>95250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913BDFEC-7DBF-4B97-A0EE-2EEF638694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6</xdr:col>
      <xdr:colOff>95250</xdr:colOff>
      <xdr:row>19</xdr:row>
      <xdr:rowOff>47625</xdr:rowOff>
    </xdr:from>
    <xdr:ext cx="589905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A2DDDE2-5476-4B17-BA72-9ECE745D34CA}"/>
                </a:ext>
              </a:extLst>
            </xdr:cNvPr>
            <xdr:cNvSpPr txBox="1"/>
          </xdr:nvSpPr>
          <xdr:spPr>
            <a:xfrm>
              <a:off x="3771900" y="3667125"/>
              <a:ext cx="58990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𝑇</m:t>
                    </m:r>
                    <m:r>
                      <a:rPr lang="en-US" sz="1800" b="1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𝐶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3A2DDDE2-5476-4B17-BA72-9ECE745D34CA}"/>
                </a:ext>
              </a:extLst>
            </xdr:cNvPr>
            <xdr:cNvSpPr txBox="1"/>
          </xdr:nvSpPr>
          <xdr:spPr>
            <a:xfrm>
              <a:off x="3771900" y="3667125"/>
              <a:ext cx="589905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𝑇</a:t>
              </a:r>
              <a:r>
                <a:rPr lang="en-US" sz="1800" b="1" i="0">
                  <a:latin typeface="Cambria Math" panose="02040503050406030204" pitchFamily="18" charset="0"/>
                </a:rPr>
                <a:t>,[</a:t>
              </a:r>
              <a:r>
                <a:rPr lang="en-US" sz="1800" b="0" i="0">
                  <a:latin typeface="Cambria Math" panose="02040503050406030204" pitchFamily="18" charset="0"/>
                </a:rPr>
                <a:t>𝐶]</a:t>
              </a:r>
              <a:endParaRPr lang="ru-RU" sz="1100"/>
            </a:p>
          </xdr:txBody>
        </xdr:sp>
      </mc:Fallback>
    </mc:AlternateContent>
    <xdr:clientData/>
  </xdr:oneCellAnchor>
  <xdr:oneCellAnchor>
    <xdr:from>
      <xdr:col>16</xdr:col>
      <xdr:colOff>76200</xdr:colOff>
      <xdr:row>47</xdr:row>
      <xdr:rowOff>104775</xdr:rowOff>
    </xdr:from>
    <xdr:ext cx="624530" cy="2818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2F0F4A2-8A98-4A30-805F-CDD9134067FA}"/>
                </a:ext>
              </a:extLst>
            </xdr:cNvPr>
            <xdr:cNvSpPr txBox="1"/>
          </xdr:nvSpPr>
          <xdr:spPr>
            <a:xfrm>
              <a:off x="10039350" y="9058275"/>
              <a:ext cx="62453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800" b="0" i="1">
                        <a:latin typeface="Cambria Math" panose="02040503050406030204" pitchFamily="18" charset="0"/>
                      </a:rPr>
                      <m:t>𝐿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,[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𝑚</m:t>
                    </m:r>
                    <m:r>
                      <a:rPr lang="en-US" sz="1800" b="0" i="1">
                        <a:latin typeface="Cambria Math" panose="02040503050406030204" pitchFamily="18" charset="0"/>
                      </a:rPr>
                      <m:t>]</m:t>
                    </m:r>
                  </m:oMath>
                </m:oMathPara>
              </a14:m>
              <a:endParaRPr lang="ru-RU" sz="1100"/>
            </a:p>
          </xdr:txBody>
        </xdr:sp>
      </mc:Choice>
      <mc:Fallback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52F0F4A2-8A98-4A30-805F-CDD9134067FA}"/>
                </a:ext>
              </a:extLst>
            </xdr:cNvPr>
            <xdr:cNvSpPr txBox="1"/>
          </xdr:nvSpPr>
          <xdr:spPr>
            <a:xfrm>
              <a:off x="10039350" y="9058275"/>
              <a:ext cx="624530" cy="281808"/>
            </a:xfrm>
            <a:prstGeom prst="rect">
              <a:avLst/>
            </a:prstGeom>
            <a:solidFill>
              <a:schemeClr val="bg1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𝐿,[𝑚]</a:t>
              </a:r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ADCEE-7DF1-460B-BD02-AADE7D4A46F0}">
  <sheetPr codeName="Лист1"/>
  <dimension ref="B3:AJ15"/>
  <sheetViews>
    <sheetView tabSelected="1" zoomScale="50" zoomScaleNormal="50" workbookViewId="0">
      <selection activeCell="W29" sqref="W29"/>
    </sheetView>
  </sheetViews>
  <sheetFormatPr defaultRowHeight="15" x14ac:dyDescent="0.25"/>
  <cols>
    <col min="6" max="36" width="9.42578125" customWidth="1"/>
  </cols>
  <sheetData>
    <row r="3" spans="2:36" x14ac:dyDescent="0.25">
      <c r="B3" s="2" t="s">
        <v>0</v>
      </c>
      <c r="C3" s="2">
        <v>0.1</v>
      </c>
    </row>
    <row r="4" spans="2:36" x14ac:dyDescent="0.25">
      <c r="B4" s="2" t="s">
        <v>1</v>
      </c>
      <c r="C4" s="4">
        <f>C3/30</f>
        <v>3.3333333333333335E-3</v>
      </c>
    </row>
    <row r="5" spans="2:36" x14ac:dyDescent="0.25">
      <c r="B5" s="2" t="s">
        <v>2</v>
      </c>
      <c r="C5" s="4">
        <f>(C9*C8*C4^2)/(2*C10)</f>
        <v>0.4333333333333334</v>
      </c>
    </row>
    <row r="6" spans="2:36" x14ac:dyDescent="0.25">
      <c r="B6" s="2" t="s">
        <v>3</v>
      </c>
      <c r="C6" s="2">
        <v>500</v>
      </c>
      <c r="D6">
        <v>500.06666666666672</v>
      </c>
    </row>
    <row r="7" spans="2:36" x14ac:dyDescent="0.25">
      <c r="B7" s="1"/>
      <c r="C7" s="1"/>
    </row>
    <row r="8" spans="2:36" x14ac:dyDescent="0.25">
      <c r="B8" s="2" t="s">
        <v>4</v>
      </c>
      <c r="C8" s="2">
        <v>460</v>
      </c>
    </row>
    <row r="9" spans="2:36" x14ac:dyDescent="0.25">
      <c r="B9" s="2" t="s">
        <v>5</v>
      </c>
      <c r="C9" s="2">
        <v>7800</v>
      </c>
    </row>
    <row r="10" spans="2:36" x14ac:dyDescent="0.25">
      <c r="B10" s="2" t="s">
        <v>6</v>
      </c>
      <c r="C10" s="2">
        <v>46</v>
      </c>
    </row>
    <row r="11" spans="2:36" x14ac:dyDescent="0.25">
      <c r="B11" s="1"/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3.3333333333333335E-3</v>
      </c>
      <c r="H12" s="3">
        <f t="shared" ref="H12:AJ12" si="0">G12+$C$4</f>
        <v>6.6666666666666671E-3</v>
      </c>
      <c r="I12" s="3">
        <f t="shared" si="0"/>
        <v>0.01</v>
      </c>
      <c r="J12" s="3">
        <f t="shared" si="0"/>
        <v>1.3333333333333334E-2</v>
      </c>
      <c r="K12" s="3">
        <f t="shared" si="0"/>
        <v>1.6666666666666666E-2</v>
      </c>
      <c r="L12" s="3">
        <f t="shared" si="0"/>
        <v>0.02</v>
      </c>
      <c r="M12" s="3">
        <f t="shared" si="0"/>
        <v>2.3333333333333334E-2</v>
      </c>
      <c r="N12" s="3">
        <f t="shared" si="0"/>
        <v>2.6666666666666668E-2</v>
      </c>
      <c r="O12" s="3">
        <f t="shared" si="0"/>
        <v>3.0000000000000002E-2</v>
      </c>
      <c r="P12" s="3">
        <f t="shared" si="0"/>
        <v>3.3333333333333333E-2</v>
      </c>
      <c r="Q12" s="3">
        <f t="shared" si="0"/>
        <v>3.6666666666666667E-2</v>
      </c>
      <c r="R12" s="3">
        <f t="shared" si="0"/>
        <v>0.04</v>
      </c>
      <c r="S12" s="3">
        <f t="shared" si="0"/>
        <v>4.3333333333333335E-2</v>
      </c>
      <c r="T12" s="3">
        <f t="shared" si="0"/>
        <v>4.6666666666666669E-2</v>
      </c>
      <c r="U12" s="3">
        <f t="shared" si="0"/>
        <v>0.05</v>
      </c>
      <c r="V12" s="3">
        <f t="shared" si="0"/>
        <v>5.3333333333333337E-2</v>
      </c>
      <c r="W12" s="3">
        <f t="shared" si="0"/>
        <v>5.6666666666666671E-2</v>
      </c>
      <c r="X12" s="3">
        <f t="shared" si="0"/>
        <v>6.0000000000000005E-2</v>
      </c>
      <c r="Y12" s="3">
        <f t="shared" si="0"/>
        <v>6.3333333333333339E-2</v>
      </c>
      <c r="Z12" s="3">
        <f t="shared" si="0"/>
        <v>6.6666666666666666E-2</v>
      </c>
      <c r="AA12" s="3">
        <f t="shared" si="0"/>
        <v>6.9999999999999993E-2</v>
      </c>
      <c r="AB12" s="3">
        <f t="shared" si="0"/>
        <v>7.333333333333332E-2</v>
      </c>
      <c r="AC12" s="3">
        <f t="shared" si="0"/>
        <v>7.6666666666666647E-2</v>
      </c>
      <c r="AD12" s="3">
        <f t="shared" si="0"/>
        <v>7.9999999999999974E-2</v>
      </c>
      <c r="AE12" s="3">
        <f t="shared" si="0"/>
        <v>8.3333333333333301E-2</v>
      </c>
      <c r="AF12" s="3">
        <f t="shared" si="0"/>
        <v>8.6666666666666628E-2</v>
      </c>
      <c r="AG12" s="3">
        <f t="shared" si="0"/>
        <v>8.9999999999999955E-2</v>
      </c>
      <c r="AH12" s="3">
        <f t="shared" si="0"/>
        <v>9.3333333333333282E-2</v>
      </c>
      <c r="AI12" s="3">
        <f t="shared" si="0"/>
        <v>9.6666666666666609E-2</v>
      </c>
      <c r="AJ12" s="3">
        <f t="shared" si="0"/>
        <v>9.9999999999999936E-2</v>
      </c>
    </row>
    <row r="13" spans="2:36" x14ac:dyDescent="0.25">
      <c r="B13" s="2" t="s">
        <v>9</v>
      </c>
      <c r="C13" s="2">
        <v>100</v>
      </c>
      <c r="E13" t="s">
        <v>7</v>
      </c>
      <c r="F13" s="1">
        <f>C12</f>
        <v>300</v>
      </c>
      <c r="G13" s="1">
        <v>293.32310708172031</v>
      </c>
      <c r="H13" s="1">
        <v>286.64621416344067</v>
      </c>
      <c r="I13" s="1">
        <v>279.96976818142753</v>
      </c>
      <c r="J13" s="1">
        <v>273.29332219941438</v>
      </c>
      <c r="K13" s="1">
        <v>266.61775055667476</v>
      </c>
      <c r="L13" s="1">
        <v>259.94217891393515</v>
      </c>
      <c r="M13" s="1">
        <v>253.26787080065432</v>
      </c>
      <c r="N13" s="1">
        <v>246.59356268737349</v>
      </c>
      <c r="O13" s="1">
        <v>239.9208520714362</v>
      </c>
      <c r="P13" s="1">
        <v>233.24814145549891</v>
      </c>
      <c r="Q13" s="1">
        <v>226.57729248649036</v>
      </c>
      <c r="R13" s="1">
        <v>219.90644351748179</v>
      </c>
      <c r="S13" s="1">
        <v>213.23763898208321</v>
      </c>
      <c r="T13" s="1">
        <v>206.56883444668463</v>
      </c>
      <c r="U13" s="1">
        <v>199.9021677800182</v>
      </c>
      <c r="V13" s="1">
        <v>193.2355011133518</v>
      </c>
      <c r="W13" s="1">
        <v>186.57097231541749</v>
      </c>
      <c r="X13" s="1">
        <v>179.90644351748318</v>
      </c>
      <c r="Y13" s="1">
        <v>173.24395915315873</v>
      </c>
      <c r="Z13" s="1">
        <v>166.58147478883427</v>
      </c>
      <c r="AA13" s="1">
        <v>159.92085207143839</v>
      </c>
      <c r="AB13" s="1">
        <v>153.26022935404251</v>
      </c>
      <c r="AC13" s="1">
        <v>146.60120413398997</v>
      </c>
      <c r="AD13" s="1">
        <v>139.94217891393743</v>
      </c>
      <c r="AE13" s="1">
        <v>133.28441722334344</v>
      </c>
      <c r="AF13" s="1">
        <v>126.62665553274945</v>
      </c>
      <c r="AG13" s="1">
        <v>119.96976818142888</v>
      </c>
      <c r="AH13" s="1">
        <v>113.3128808301083</v>
      </c>
      <c r="AI13" s="1">
        <v>106.65644041505415</v>
      </c>
      <c r="AJ13" s="1">
        <f>C13</f>
        <v>100</v>
      </c>
    </row>
    <row r="15" spans="2:36" x14ac:dyDescent="0.25">
      <c r="E15" t="s">
        <v>10</v>
      </c>
      <c r="G15" s="1">
        <f>G13+(($C$10*$C$5)/($C$9*$C$8))*((H13-2*G13+F13)/($C$4^2))</f>
        <v>293.32310708172031</v>
      </c>
      <c r="H15" s="1">
        <f t="shared" ref="H15:AI15" si="1">H13+(($C$10*$C$5)/($C$9*$C$8))*((I13-2*H13+G13)/($C$4^2))</f>
        <v>286.64643763157392</v>
      </c>
      <c r="I15" s="1">
        <f t="shared" si="1"/>
        <v>279.96976818142753</v>
      </c>
      <c r="J15" s="1">
        <f t="shared" si="1"/>
        <v>273.29375936905114</v>
      </c>
      <c r="K15" s="1">
        <f t="shared" si="1"/>
        <v>266.61775055667476</v>
      </c>
      <c r="L15" s="1">
        <f t="shared" si="1"/>
        <v>259.94281067866456</v>
      </c>
      <c r="M15" s="1">
        <f t="shared" si="1"/>
        <v>253.26787080065432</v>
      </c>
      <c r="N15" s="1">
        <f t="shared" si="1"/>
        <v>246.59436143604526</v>
      </c>
      <c r="O15" s="1">
        <f t="shared" si="1"/>
        <v>239.9208520714362</v>
      </c>
      <c r="P15" s="1">
        <f t="shared" si="1"/>
        <v>233.2490722789633</v>
      </c>
      <c r="Q15" s="1">
        <f t="shared" si="1"/>
        <v>226.57729248649036</v>
      </c>
      <c r="R15" s="1">
        <f t="shared" si="1"/>
        <v>219.9074657342868</v>
      </c>
      <c r="S15" s="1">
        <f t="shared" si="1"/>
        <v>213.23763898208321</v>
      </c>
      <c r="T15" s="1">
        <f t="shared" si="1"/>
        <v>206.56990338105072</v>
      </c>
      <c r="U15" s="1">
        <f t="shared" si="1"/>
        <v>199.9021677800182</v>
      </c>
      <c r="V15" s="1">
        <f t="shared" si="1"/>
        <v>193.23657004771786</v>
      </c>
      <c r="W15" s="1">
        <f t="shared" si="1"/>
        <v>186.57097231541749</v>
      </c>
      <c r="X15" s="1">
        <f t="shared" si="1"/>
        <v>179.90746573428811</v>
      </c>
      <c r="Y15" s="1">
        <f t="shared" si="1"/>
        <v>173.24395915315873</v>
      </c>
      <c r="Z15" s="1">
        <f t="shared" si="1"/>
        <v>166.58240561229854</v>
      </c>
      <c r="AA15" s="1">
        <f t="shared" si="1"/>
        <v>159.92085207143839</v>
      </c>
      <c r="AB15" s="1">
        <f t="shared" si="1"/>
        <v>153.26102810271419</v>
      </c>
      <c r="AC15" s="1">
        <f t="shared" si="1"/>
        <v>146.60120413398997</v>
      </c>
      <c r="AD15" s="1">
        <f t="shared" si="1"/>
        <v>139.94281067866672</v>
      </c>
      <c r="AE15" s="1">
        <f t="shared" si="1"/>
        <v>133.28441722334344</v>
      </c>
      <c r="AF15" s="1">
        <f t="shared" si="1"/>
        <v>126.62709270238616</v>
      </c>
      <c r="AG15" s="1">
        <f t="shared" si="1"/>
        <v>119.96976818142888</v>
      </c>
      <c r="AH15" s="1">
        <f t="shared" si="1"/>
        <v>113.31310429824151</v>
      </c>
      <c r="AI15" s="1">
        <f t="shared" si="1"/>
        <v>106.65644041505415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днс</dc:creator>
  <cp:lastModifiedBy>днс</cp:lastModifiedBy>
  <dcterms:created xsi:type="dcterms:W3CDTF">2021-09-07T09:31:45Z</dcterms:created>
  <dcterms:modified xsi:type="dcterms:W3CDTF">2021-09-07T11:08:15Z</dcterms:modified>
</cp:coreProperties>
</file>