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днс\Desktop\МСС\"/>
    </mc:Choice>
  </mc:AlternateContent>
  <xr:revisionPtr revIDLastSave="0" documentId="8_{08995481-E349-4165-AC8B-AD8749A4E206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неявная схема" sheetId="1" r:id="rId1"/>
    <sheet name="явная схема" sheetId="2" r:id="rId2"/>
  </sheets>
  <externalReferences>
    <externalReference r:id="rId3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2" l="1"/>
  <c r="G12" i="2" s="1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C5" i="2" l="1"/>
  <c r="AG15" i="2" l="1"/>
  <c r="Y15" i="2"/>
  <c r="Q15" i="2"/>
  <c r="I15" i="2"/>
  <c r="AF15" i="2"/>
  <c r="X15" i="2"/>
  <c r="P15" i="2"/>
  <c r="H15" i="2"/>
  <c r="AE15" i="2"/>
  <c r="W15" i="2"/>
  <c r="O15" i="2"/>
  <c r="G15" i="2"/>
  <c r="AD15" i="2"/>
  <c r="V15" i="2"/>
  <c r="N15" i="2"/>
  <c r="AC15" i="2"/>
  <c r="U15" i="2"/>
  <c r="M15" i="2"/>
  <c r="AB15" i="2"/>
  <c r="T15" i="2"/>
  <c r="L15" i="2"/>
  <c r="AI15" i="2"/>
  <c r="AA15" i="2"/>
  <c r="S15" i="2"/>
  <c r="K15" i="2"/>
  <c r="AH15" i="2"/>
  <c r="Z15" i="2"/>
  <c r="R15" i="2"/>
  <c r="J15" i="2"/>
  <c r="C4" i="1"/>
  <c r="L20" i="1" s="1"/>
  <c r="AJ14" i="1"/>
  <c r="F19" i="1"/>
  <c r="C15" i="1"/>
  <c r="C17" i="1" s="1"/>
  <c r="V20" i="1" l="1"/>
  <c r="O20" i="1"/>
  <c r="AE20" i="1"/>
  <c r="AD20" i="1"/>
  <c r="W20" i="1"/>
  <c r="N20" i="1"/>
  <c r="J20" i="1"/>
  <c r="AI20" i="1"/>
  <c r="AA20" i="1"/>
  <c r="S20" i="1"/>
  <c r="AH20" i="1"/>
  <c r="Z20" i="1"/>
  <c r="R20" i="1"/>
  <c r="I20" i="1"/>
  <c r="AC20" i="1"/>
  <c r="M20" i="1"/>
  <c r="AB20" i="1"/>
  <c r="Q20" i="1"/>
  <c r="H20" i="1"/>
  <c r="C16" i="1"/>
  <c r="U20" i="1"/>
  <c r="F20" i="1"/>
  <c r="T20" i="1"/>
  <c r="K20" i="1"/>
  <c r="AG20" i="1"/>
  <c r="Y20" i="1"/>
  <c r="AF20" i="1"/>
  <c r="X20" i="1"/>
  <c r="P20" i="1"/>
  <c r="G20" i="1"/>
  <c r="G19" i="1" s="1"/>
  <c r="G18" i="1"/>
  <c r="H18" i="1" s="1"/>
  <c r="I18" i="1" s="1"/>
  <c r="J18" i="1" s="1"/>
  <c r="K18" i="1" s="1"/>
  <c r="L18" i="1" s="1"/>
  <c r="M18" i="1" s="1"/>
  <c r="N18" i="1" s="1"/>
  <c r="O18" i="1" s="1"/>
  <c r="P18" i="1" s="1"/>
  <c r="Q18" i="1" s="1"/>
  <c r="R18" i="1" s="1"/>
  <c r="S18" i="1" s="1"/>
  <c r="T18" i="1" s="1"/>
  <c r="U18" i="1" s="1"/>
  <c r="V18" i="1" s="1"/>
  <c r="W18" i="1" s="1"/>
  <c r="X18" i="1" s="1"/>
  <c r="Y18" i="1" s="1"/>
  <c r="Z18" i="1" s="1"/>
  <c r="AA18" i="1" s="1"/>
  <c r="AB18" i="1" s="1"/>
  <c r="AC18" i="1" s="1"/>
  <c r="AD18" i="1" s="1"/>
  <c r="AE18" i="1" s="1"/>
  <c r="AF18" i="1" s="1"/>
  <c r="AG18" i="1" s="1"/>
  <c r="C2" i="1"/>
  <c r="AH18" i="1" l="1"/>
  <c r="H19" i="1"/>
  <c r="I19" i="1" s="1"/>
  <c r="J19" i="1" s="1"/>
  <c r="K19" i="1" s="1"/>
  <c r="L19" i="1" s="1"/>
  <c r="M19" i="1" s="1"/>
  <c r="N19" i="1" s="1"/>
  <c r="O19" i="1" s="1"/>
  <c r="P19" i="1" s="1"/>
  <c r="Q19" i="1" s="1"/>
  <c r="R19" i="1" s="1"/>
  <c r="S19" i="1" s="1"/>
  <c r="T19" i="1" s="1"/>
  <c r="U19" i="1" s="1"/>
  <c r="V19" i="1" s="1"/>
  <c r="W19" i="1" s="1"/>
  <c r="X19" i="1" s="1"/>
  <c r="Y19" i="1" s="1"/>
  <c r="Z19" i="1" s="1"/>
  <c r="AA19" i="1" s="1"/>
  <c r="AB19" i="1" s="1"/>
  <c r="AC19" i="1" s="1"/>
  <c r="AD19" i="1" s="1"/>
  <c r="AE19" i="1" s="1"/>
  <c r="AF19" i="1" s="1"/>
  <c r="AG19" i="1" s="1"/>
  <c r="AH19" i="1" s="1"/>
  <c r="AI19" i="1" s="1"/>
  <c r="G11" i="1"/>
  <c r="H11" i="1" s="1"/>
  <c r="I11" i="1" s="1"/>
  <c r="J11" i="1" s="1"/>
  <c r="K11" i="1" s="1"/>
  <c r="L11" i="1" s="1"/>
  <c r="M11" i="1" s="1"/>
  <c r="N11" i="1" s="1"/>
  <c r="O11" i="1" s="1"/>
  <c r="P11" i="1" s="1"/>
  <c r="Q11" i="1" s="1"/>
  <c r="R11" i="1" s="1"/>
  <c r="S11" i="1" s="1"/>
  <c r="T11" i="1" s="1"/>
  <c r="U11" i="1" s="1"/>
  <c r="V11" i="1" s="1"/>
  <c r="W11" i="1" s="1"/>
  <c r="X11" i="1" s="1"/>
  <c r="Y11" i="1" s="1"/>
  <c r="Z11" i="1" s="1"/>
  <c r="AA11" i="1" s="1"/>
  <c r="AB11" i="1" s="1"/>
  <c r="AC11" i="1" s="1"/>
  <c r="AD11" i="1" s="1"/>
  <c r="AE11" i="1" s="1"/>
  <c r="AF11" i="1" s="1"/>
  <c r="AG11" i="1" s="1"/>
  <c r="AH11" i="1" s="1"/>
  <c r="AI11" i="1" s="1"/>
  <c r="AJ11" i="1" s="1"/>
  <c r="AI18" i="1" l="1"/>
  <c r="AI14" i="1" s="1"/>
  <c r="AH14" i="1" s="1"/>
  <c r="AG14" i="1" s="1"/>
  <c r="AF14" i="1" s="1"/>
  <c r="AE14" i="1" s="1"/>
  <c r="AD14" i="1" s="1"/>
  <c r="AC14" i="1" s="1"/>
  <c r="AB14" i="1" s="1"/>
  <c r="AA14" i="1" s="1"/>
  <c r="Z14" i="1" s="1"/>
  <c r="Y14" i="1" s="1"/>
  <c r="X14" i="1" s="1"/>
  <c r="W14" i="1" s="1"/>
  <c r="V14" i="1" s="1"/>
  <c r="U14" i="1" s="1"/>
  <c r="T14" i="1" s="1"/>
  <c r="S14" i="1" s="1"/>
  <c r="R14" i="1" s="1"/>
  <c r="Q14" i="1" s="1"/>
  <c r="P14" i="1" s="1"/>
  <c r="O14" i="1" s="1"/>
  <c r="N14" i="1" s="1"/>
  <c r="M14" i="1" s="1"/>
  <c r="L14" i="1" s="1"/>
  <c r="K14" i="1" s="1"/>
  <c r="J14" i="1" s="1"/>
  <c r="I14" i="1" s="1"/>
  <c r="H14" i="1" s="1"/>
  <c r="G14" i="1" s="1"/>
</calcChain>
</file>

<file path=xl/sharedStrings.xml><?xml version="1.0" encoding="utf-8"?>
<sst xmlns="http://schemas.openxmlformats.org/spreadsheetml/2006/main" count="33" uniqueCount="20">
  <si>
    <t>L</t>
  </si>
  <si>
    <t>dx</t>
  </si>
  <si>
    <t>dt</t>
  </si>
  <si>
    <t>t</t>
  </si>
  <si>
    <t>Cp</t>
  </si>
  <si>
    <t>ro</t>
  </si>
  <si>
    <t>lamda</t>
  </si>
  <si>
    <t>T</t>
  </si>
  <si>
    <t>T_iter</t>
  </si>
  <si>
    <t>T_start</t>
  </si>
  <si>
    <t>T_end</t>
  </si>
  <si>
    <t>t_gas</t>
  </si>
  <si>
    <t>α</t>
  </si>
  <si>
    <t>A</t>
  </si>
  <si>
    <t>B</t>
  </si>
  <si>
    <t>C</t>
  </si>
  <si>
    <t>q</t>
  </si>
  <si>
    <t>alpha</t>
  </si>
  <si>
    <t>beta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</si>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</sst>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/>
    <xf numFmtId="2" fontId="0" fillId="0" borderId="1" xfId="0" applyNumberForma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'неявная схема'!$F$11:$AJ$11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схема'!$F$12:$AJ$12</c:f>
              <c:numCache>
                <c:formatCode>General</c:formatCode>
                <c:ptCount val="31"/>
                <c:pt idx="0">
                  <c:v>300</c:v>
                </c:pt>
                <c:pt idx="1">
                  <c:v>293.30210171022196</c:v>
                </c:pt>
                <c:pt idx="2">
                  <c:v>286.60454560064346</c:v>
                </c:pt>
                <c:pt idx="3">
                  <c:v>279.90767010246611</c:v>
                </c:pt>
                <c:pt idx="4">
                  <c:v>273.2118061899705</c:v>
                </c:pt>
                <c:pt idx="5">
                  <c:v>266.51727375429272</c:v>
                </c:pt>
                <c:pt idx="6">
                  <c:v>259.82437809862995</c:v>
                </c:pt>
                <c:pt idx="7">
                  <c:v>253.13340659327483</c:v>
                </c:pt>
                <c:pt idx="8">
                  <c:v>246.44462552712645</c:v>
                </c:pt>
                <c:pt idx="9">
                  <c:v>239.75827719017309</c:v>
                </c:pt>
                <c:pt idx="10">
                  <c:v>233.07457721891299</c:v>
                </c:pt>
                <c:pt idx="11">
                  <c:v>226.3937122337953</c:v>
                </c:pt>
                <c:pt idx="12">
                  <c:v>219.71583779456739</c:v>
                </c:pt>
                <c:pt idx="13">
                  <c:v>213.04107669593009</c:v>
                </c:pt>
                <c:pt idx="14">
                  <c:v>206.36951762217291</c:v>
                </c:pt>
                <c:pt idx="15">
                  <c:v>199.70121417553071</c:v>
                </c:pt>
                <c:pt idx="16">
                  <c:v>193.03618428890636</c:v>
                </c:pt>
                <c:pt idx="17">
                  <c:v>186.37441002939414</c:v>
                </c:pt>
                <c:pt idx="18">
                  <c:v>179.71583779475634</c:v>
                </c:pt>
                <c:pt idx="19">
                  <c:v>173.06037890070087</c:v>
                </c:pt>
                <c:pt idx="20">
                  <c:v>166.40791055252478</c:v>
                </c:pt>
                <c:pt idx="21">
                  <c:v>159.75827719047888</c:v>
                </c:pt>
                <c:pt idx="22">
                  <c:v>153.11129219411285</c:v>
                </c:pt>
                <c:pt idx="23">
                  <c:v>146.466739926928</c:v>
                </c:pt>
                <c:pt idx="24">
                  <c:v>139.82437809893582</c:v>
                </c:pt>
                <c:pt idx="25">
                  <c:v>133.18394042123793</c:v>
                </c:pt>
                <c:pt idx="26">
                  <c:v>126.54513952354287</c:v>
                </c:pt>
                <c:pt idx="27">
                  <c:v>119.90767010265515</c:v>
                </c:pt>
                <c:pt idx="28">
                  <c:v>113.2712122674409</c:v>
                </c:pt>
                <c:pt idx="29">
                  <c:v>106.63543504362212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0C-4A15-AF25-253277F054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160960"/>
        <c:axId val="91162496"/>
      </c:scatterChart>
      <c:valAx>
        <c:axId val="91160960"/>
        <c:scaling>
          <c:orientation val="minMax"/>
          <c:max val="0.1"/>
        </c:scaling>
        <c:delete val="0"/>
        <c:axPos val="b"/>
        <c:majorGridlines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91162496"/>
        <c:crosses val="autoZero"/>
        <c:crossBetween val="midCat"/>
      </c:valAx>
      <c:valAx>
        <c:axId val="91162496"/>
        <c:scaling>
          <c:orientation val="minMax"/>
          <c:max val="350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9116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'неявная схема'!$F$11:$AJ$11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схема'!$F$12:$AJ$12</c:f>
              <c:numCache>
                <c:formatCode>General</c:formatCode>
                <c:ptCount val="31"/>
                <c:pt idx="0">
                  <c:v>300</c:v>
                </c:pt>
                <c:pt idx="1">
                  <c:v>293.30210171022196</c:v>
                </c:pt>
                <c:pt idx="2">
                  <c:v>286.60454560064346</c:v>
                </c:pt>
                <c:pt idx="3">
                  <c:v>279.90767010246611</c:v>
                </c:pt>
                <c:pt idx="4">
                  <c:v>273.2118061899705</c:v>
                </c:pt>
                <c:pt idx="5">
                  <c:v>266.51727375429272</c:v>
                </c:pt>
                <c:pt idx="6">
                  <c:v>259.82437809862995</c:v>
                </c:pt>
                <c:pt idx="7">
                  <c:v>253.13340659327483</c:v>
                </c:pt>
                <c:pt idx="8">
                  <c:v>246.44462552712645</c:v>
                </c:pt>
                <c:pt idx="9">
                  <c:v>239.75827719017309</c:v>
                </c:pt>
                <c:pt idx="10">
                  <c:v>233.07457721891299</c:v>
                </c:pt>
                <c:pt idx="11">
                  <c:v>226.3937122337953</c:v>
                </c:pt>
                <c:pt idx="12">
                  <c:v>219.71583779456739</c:v>
                </c:pt>
                <c:pt idx="13">
                  <c:v>213.04107669593009</c:v>
                </c:pt>
                <c:pt idx="14">
                  <c:v>206.36951762217291</c:v>
                </c:pt>
                <c:pt idx="15">
                  <c:v>199.70121417553071</c:v>
                </c:pt>
                <c:pt idx="16">
                  <c:v>193.03618428890636</c:v>
                </c:pt>
                <c:pt idx="17">
                  <c:v>186.37441002939414</c:v>
                </c:pt>
                <c:pt idx="18">
                  <c:v>179.71583779475634</c:v>
                </c:pt>
                <c:pt idx="19">
                  <c:v>173.06037890070087</c:v>
                </c:pt>
                <c:pt idx="20">
                  <c:v>166.40791055252478</c:v>
                </c:pt>
                <c:pt idx="21">
                  <c:v>159.75827719047888</c:v>
                </c:pt>
                <c:pt idx="22">
                  <c:v>153.11129219411285</c:v>
                </c:pt>
                <c:pt idx="23">
                  <c:v>146.466739926928</c:v>
                </c:pt>
                <c:pt idx="24">
                  <c:v>139.82437809893582</c:v>
                </c:pt>
                <c:pt idx="25">
                  <c:v>133.18394042123793</c:v>
                </c:pt>
                <c:pt idx="26">
                  <c:v>126.54513952354287</c:v>
                </c:pt>
                <c:pt idx="27">
                  <c:v>119.90767010265515</c:v>
                </c:pt>
                <c:pt idx="28">
                  <c:v>113.2712122674409</c:v>
                </c:pt>
                <c:pt idx="29">
                  <c:v>106.63543504362212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CF6-44AE-8912-A5912F788248}"/>
            </c:ext>
          </c:extLst>
        </c:ser>
        <c:ser>
          <c:idx val="1"/>
          <c:order val="1"/>
          <c:marker>
            <c:symbol val="none"/>
          </c:marker>
          <c:xVal>
            <c:numRef>
              <c:f>'явная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293.3033207019663</c:v>
                </c:pt>
                <c:pt idx="2">
                  <c:v>286.6066414039326</c:v>
                </c:pt>
                <c:pt idx="3">
                  <c:v>279.91127380190864</c:v>
                </c:pt>
                <c:pt idx="4">
                  <c:v>273.21590619988467</c:v>
                </c:pt>
                <c:pt idx="5">
                  <c:v>266.52310466246985</c:v>
                </c:pt>
                <c:pt idx="6">
                  <c:v>259.83030312505502</c:v>
                </c:pt>
                <c:pt idx="7">
                  <c:v>253.14120987151131</c:v>
                </c:pt>
                <c:pt idx="8">
                  <c:v>246.45211661796756</c:v>
                </c:pt>
                <c:pt idx="9">
                  <c:v>239.76771179775639</c:v>
                </c:pt>
                <c:pt idx="10">
                  <c:v>233.08330697754522</c:v>
                </c:pt>
                <c:pt idx="11">
                  <c:v>226.40436583309287</c:v>
                </c:pt>
                <c:pt idx="12">
                  <c:v>219.72542468864049</c:v>
                </c:pt>
                <c:pt idx="13">
                  <c:v>213.05248367352402</c:v>
                </c:pt>
                <c:pt idx="14">
                  <c:v>206.37954265840756</c:v>
                </c:pt>
                <c:pt idx="15">
                  <c:v>199.71287599175969</c:v>
                </c:pt>
                <c:pt idx="16">
                  <c:v>193.04620932511185</c:v>
                </c:pt>
                <c:pt idx="17">
                  <c:v>186.38581700692936</c:v>
                </c:pt>
                <c:pt idx="18">
                  <c:v>179.72542468874684</c:v>
                </c:pt>
                <c:pt idx="19">
                  <c:v>173.07103249989103</c:v>
                </c:pt>
                <c:pt idx="20">
                  <c:v>166.41664031103522</c:v>
                </c:pt>
                <c:pt idx="21">
                  <c:v>159.76771179792468</c:v>
                </c:pt>
                <c:pt idx="22">
                  <c:v>153.11878328481413</c:v>
                </c:pt>
                <c:pt idx="23">
                  <c:v>146.47454320502061</c:v>
                </c:pt>
                <c:pt idx="24">
                  <c:v>139.83030312522709</c:v>
                </c:pt>
                <c:pt idx="25">
                  <c:v>133.18977132928978</c:v>
                </c:pt>
                <c:pt idx="26">
                  <c:v>126.54923953335248</c:v>
                </c:pt>
                <c:pt idx="27">
                  <c:v>119.91127380201269</c:v>
                </c:pt>
                <c:pt idx="28">
                  <c:v>113.2733080706729</c:v>
                </c:pt>
                <c:pt idx="29">
                  <c:v>106.63665403533645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CF6-44AE-8912-A5912F788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160960"/>
        <c:axId val="91162496"/>
      </c:scatterChart>
      <c:valAx>
        <c:axId val="91160960"/>
        <c:scaling>
          <c:orientation val="minMax"/>
          <c:max val="0.1"/>
        </c:scaling>
        <c:delete val="0"/>
        <c:axPos val="b"/>
        <c:majorGridlines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91162496"/>
        <c:crosses val="autoZero"/>
        <c:crossBetween val="midCat"/>
      </c:valAx>
      <c:valAx>
        <c:axId val="91162496"/>
        <c:scaling>
          <c:orientation val="minMax"/>
          <c:max val="300"/>
          <c:min val="10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9116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[1]Лист1!$F$12:$AJ$12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[1]Лист1!$F$13:$AJ$13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293.28624346693624</c:v>
                </c:pt>
                <c:pt idx="2">
                  <c:v>286.57351596044163</c:v>
                </c:pt>
                <c:pt idx="3">
                  <c:v>279.86078845394701</c:v>
                </c:pt>
                <c:pt idx="4">
                  <c:v>273.15110305375981</c:v>
                </c:pt>
                <c:pt idx="5">
                  <c:v>266.44141765357256</c:v>
                </c:pt>
                <c:pt idx="6">
                  <c:v>259.73665448478408</c:v>
                </c:pt>
                <c:pt idx="7">
                  <c:v>253.03189131599561</c:v>
                </c:pt>
                <c:pt idx="8">
                  <c:v>246.33371537856041</c:v>
                </c:pt>
                <c:pt idx="9">
                  <c:v>239.63553944112522</c:v>
                </c:pt>
                <c:pt idx="10">
                  <c:v>232.9453278413726</c:v>
                </c:pt>
                <c:pt idx="11">
                  <c:v>226.25511624161999</c:v>
                </c:pt>
                <c:pt idx="12">
                  <c:v>219.57389800609968</c:v>
                </c:pt>
                <c:pt idx="13">
                  <c:v>212.89267977057938</c:v>
                </c:pt>
                <c:pt idx="14">
                  <c:v>206.22109087266466</c:v>
                </c:pt>
                <c:pt idx="15">
                  <c:v>199.54950197474994</c:v>
                </c:pt>
                <c:pt idx="16">
                  <c:v>192.88775753955161</c:v>
                </c:pt>
                <c:pt idx="17">
                  <c:v>186.22601310435331</c:v>
                </c:pt>
                <c:pt idx="18">
                  <c:v>179.57389800672252</c:v>
                </c:pt>
                <c:pt idx="19">
                  <c:v>172.92178290909169</c:v>
                </c:pt>
                <c:pt idx="20">
                  <c:v>166.2786611756236</c:v>
                </c:pt>
                <c:pt idx="21">
                  <c:v>159.6355394421555</c:v>
                </c:pt>
                <c:pt idx="22">
                  <c:v>153.00038204628092</c:v>
                </c:pt>
                <c:pt idx="23">
                  <c:v>146.36522465040633</c:v>
                </c:pt>
                <c:pt idx="24">
                  <c:v>139.73665448579186</c:v>
                </c:pt>
                <c:pt idx="25">
                  <c:v>133.10808432117742</c:v>
                </c:pt>
                <c:pt idx="26">
                  <c:v>126.48443638788059</c:v>
                </c:pt>
                <c:pt idx="27">
                  <c:v>119.86078845458377</c:v>
                </c:pt>
                <c:pt idx="28">
                  <c:v>113.24018262753927</c:v>
                </c:pt>
                <c:pt idx="29">
                  <c:v>106.61957680049478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99-462D-947D-376201D9CF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160960"/>
        <c:axId val="91162496"/>
      </c:scatterChart>
      <c:valAx>
        <c:axId val="91160960"/>
        <c:scaling>
          <c:orientation val="minMax"/>
          <c:max val="0.1"/>
        </c:scaling>
        <c:delete val="0"/>
        <c:axPos val="b"/>
        <c:majorGridlines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91162496"/>
        <c:crosses val="autoZero"/>
        <c:crossBetween val="midCat"/>
      </c:valAx>
      <c:valAx>
        <c:axId val="91162496"/>
        <c:scaling>
          <c:orientation val="minMax"/>
          <c:max val="350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9116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247650</xdr:colOff>
      <xdr:row>23</xdr:row>
      <xdr:rowOff>102394</xdr:rowOff>
    </xdr:from>
    <xdr:to>
      <xdr:col>10</xdr:col>
      <xdr:colOff>476249</xdr:colOff>
      <xdr:row>43</xdr:row>
      <xdr:rowOff>102394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554832</xdr:colOff>
      <xdr:row>23</xdr:row>
      <xdr:rowOff>9525</xdr:rowOff>
    </xdr:from>
    <xdr:ext cx="452438" cy="41671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1164432" y="4533900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 b="1" i="1">
                        <a:latin typeface="Cambria Math"/>
                      </a:rPr>
                      <m:t>𝑻</m:t>
                    </m:r>
                    <m:r>
                      <a:rPr lang="en-US" sz="1200" b="1" i="1">
                        <a:latin typeface="Cambria Math"/>
                      </a:rPr>
                      <m:t>,[</m:t>
                    </m:r>
                    <m:r>
                      <a:rPr lang="en-US" sz="1200" b="1" i="1">
                        <a:latin typeface="Cambria Math"/>
                      </a:rPr>
                      <m:t>𝑪</m:t>
                    </m:r>
                    <m:r>
                      <a:rPr lang="en-US" sz="12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400" b="1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1164432" y="4533900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200" b="1" i="0">
                  <a:latin typeface="Cambria Math"/>
                </a:rPr>
                <a:t>𝑻,[𝑪]</a:t>
              </a:r>
              <a:endParaRPr lang="ru-RU" sz="1400" b="1"/>
            </a:p>
          </xdr:txBody>
        </xdr:sp>
      </mc:Fallback>
    </mc:AlternateContent>
    <xdr:clientData/>
  </xdr:oneCellAnchor>
  <xdr:twoCellAnchor>
    <xdr:from>
      <xdr:col>12</xdr:col>
      <xdr:colOff>19049</xdr:colOff>
      <xdr:row>22</xdr:row>
      <xdr:rowOff>95250</xdr:rowOff>
    </xdr:from>
    <xdr:to>
      <xdr:col>22</xdr:col>
      <xdr:colOff>409574</xdr:colOff>
      <xdr:row>42</xdr:row>
      <xdr:rowOff>152400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C766150C-24FE-4618-A293-DBEC031231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0.83766</cdr:x>
      <cdr:y>0.91317</cdr:y>
    </cdr:from>
    <cdr:to>
      <cdr:x>0.99094</cdr:x>
      <cdr:y>0.99699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200" b="1" i="1">
                      <a:latin typeface="Cambria Math"/>
                    </a:rPr>
                    <m:t>,[</m:t>
                  </m:r>
                  <m:r>
                    <a:rPr lang="en-US" sz="1200" b="1" i="1">
                      <a:latin typeface="Cambria Math"/>
                    </a:rPr>
                    <m:t>𝒎</m:t>
                  </m:r>
                  <m:r>
                    <a:rPr lang="en-US" sz="1200" b="1" i="1">
                      <a:latin typeface="Cambria Math"/>
                    </a:rPr>
                    <m:t>]</m:t>
                  </m:r>
                </m:oMath>
              </a14:m>
              <a:endParaRPr lang="ru-RU" sz="1400" b="1"/>
            </a:p>
          </cdr:txBody>
        </cdr:sp>
      </mc:Choice>
      <mc:Fallback xmlns="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:r>
                <a:rPr lang="en-US" sz="1200" b="1" i="0">
                  <a:latin typeface="Cambria Math"/>
                </a:rPr>
                <a:t>,[𝒎]</a:t>
              </a:r>
              <a:endParaRPr lang="ru-RU" sz="1400" b="1"/>
            </a:p>
          </cdr:txBody>
        </cdr:sp>
      </mc:Fallback>
    </mc:AlternateContent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0.83766</cdr:x>
      <cdr:y>0.91317</cdr:y>
    </cdr:from>
    <cdr:to>
      <cdr:x>0.99094</cdr:x>
      <cdr:y>0.99699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200" b="1" i="1">
                      <a:latin typeface="Cambria Math"/>
                    </a:rPr>
                    <m:t>,[</m:t>
                  </m:r>
                  <m:r>
                    <a:rPr lang="en-US" sz="1200" b="1" i="1">
                      <a:latin typeface="Cambria Math"/>
                    </a:rPr>
                    <m:t>𝒎</m:t>
                  </m:r>
                  <m:r>
                    <a:rPr lang="en-US" sz="1200" b="1" i="1">
                      <a:latin typeface="Cambria Math"/>
                    </a:rPr>
                    <m:t>]</m:t>
                  </m:r>
                </m:oMath>
              </a14:m>
              <a:endParaRPr lang="ru-RU" sz="1400" b="1"/>
            </a:p>
          </cdr:txBody>
        </cdr:sp>
      </mc:Choice>
      <mc:Fallback xmlns="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:r>
                <a:rPr lang="en-US" sz="1200" b="1" i="0">
                  <a:latin typeface="Cambria Math"/>
                </a:rPr>
                <a:t>,[𝒎]</a:t>
              </a:r>
              <a:endParaRPr lang="ru-RU" sz="1400" b="1"/>
            </a:p>
          </cdr:txBody>
        </cdr:sp>
      </mc:Fallback>
    </mc:AlternateContent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15</xdr:row>
      <xdr:rowOff>178594</xdr:rowOff>
    </xdr:from>
    <xdr:to>
      <xdr:col>12</xdr:col>
      <xdr:colOff>476249</xdr:colOff>
      <xdr:row>35</xdr:row>
      <xdr:rowOff>178594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3E36C16-23A5-460D-A610-F023048BA9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11907</xdr:colOff>
      <xdr:row>16</xdr:row>
      <xdr:rowOff>47625</xdr:rowOff>
    </xdr:from>
    <xdr:ext cx="452438" cy="41671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C6813F2-4850-4138-A82F-2F75E3829163}"/>
                </a:ext>
              </a:extLst>
            </xdr:cNvPr>
            <xdr:cNvSpPr txBox="1"/>
          </xdr:nvSpPr>
          <xdr:spPr>
            <a:xfrm>
              <a:off x="3090387" y="2973705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 b="1" i="1">
                        <a:latin typeface="Cambria Math"/>
                      </a:rPr>
                      <m:t>𝑻</m:t>
                    </m:r>
                    <m:r>
                      <a:rPr lang="en-US" sz="1200" b="1" i="1">
                        <a:latin typeface="Cambria Math"/>
                      </a:rPr>
                      <m:t>,[</m:t>
                    </m:r>
                    <m:r>
                      <a:rPr lang="en-US" sz="1200" b="1" i="1">
                        <a:latin typeface="Cambria Math"/>
                      </a:rPr>
                      <m:t>𝑪</m:t>
                    </m:r>
                    <m:r>
                      <a:rPr lang="en-US" sz="12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400" b="1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C6813F2-4850-4138-A82F-2F75E3829163}"/>
                </a:ext>
              </a:extLst>
            </xdr:cNvPr>
            <xdr:cNvSpPr txBox="1"/>
          </xdr:nvSpPr>
          <xdr:spPr>
            <a:xfrm>
              <a:off x="3090387" y="2973705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200" b="1" i="0">
                  <a:latin typeface="Cambria Math"/>
                </a:rPr>
                <a:t>𝑻,[𝑪]</a:t>
              </a:r>
              <a:endParaRPr lang="ru-RU" sz="1400" b="1"/>
            </a:p>
          </xdr:txBody>
        </xdr:sp>
      </mc:Fallback>
    </mc:AlternateContent>
    <xdr:clientData/>
  </xdr:one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0.83766</cdr:x>
      <cdr:y>0.91317</cdr:y>
    </cdr:from>
    <cdr:to>
      <cdr:x>0.99094</cdr:x>
      <cdr:y>0.99699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200" b="1" i="1">
                      <a:latin typeface="Cambria Math"/>
                    </a:rPr>
                    <m:t>,[</m:t>
                  </m:r>
                  <m:r>
                    <a:rPr lang="en-US" sz="1200" b="1" i="1">
                      <a:latin typeface="Cambria Math"/>
                    </a:rPr>
                    <m:t>𝒎</m:t>
                  </m:r>
                  <m:r>
                    <a:rPr lang="en-US" sz="1200" b="1" i="1">
                      <a:latin typeface="Cambria Math"/>
                    </a:rPr>
                    <m:t>]</m:t>
                  </m:r>
                </m:oMath>
              </a14:m>
              <a:endParaRPr lang="ru-RU" sz="1400" b="1"/>
            </a:p>
          </cdr:txBody>
        </cdr:sp>
      </mc:Choice>
      <mc:Fallback xmlns="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:r>
                <a:rPr lang="en-US" sz="1200" b="1" i="0">
                  <a:latin typeface="Cambria Math"/>
                </a:rPr>
                <a:t>,[𝒎]</a:t>
              </a:r>
              <a:endParaRPr lang="ru-RU" sz="1400" b="1"/>
            </a:p>
          </cdr:txBody>
        </cdr:sp>
      </mc:Fallback>
    </mc:AlternateContent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vs/Desktop/1%20&#1083;&#1072;&#1073;&#1072;%20&#1052;&#1057;&#1057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Лист2"/>
      <sheetName val="Лист3"/>
    </sheetNames>
    <sheetDataSet>
      <sheetData sheetId="0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293.28624346693624</v>
          </cell>
          <cell r="H13">
            <v>286.57351596044163</v>
          </cell>
          <cell r="I13">
            <v>279.86078845394701</v>
          </cell>
          <cell r="J13">
            <v>273.15110305375981</v>
          </cell>
          <cell r="K13">
            <v>266.44141765357256</v>
          </cell>
          <cell r="L13">
            <v>259.73665448478408</v>
          </cell>
          <cell r="M13">
            <v>253.03189131599561</v>
          </cell>
          <cell r="N13">
            <v>246.33371537856041</v>
          </cell>
          <cell r="O13">
            <v>239.63553944112522</v>
          </cell>
          <cell r="P13">
            <v>232.9453278413726</v>
          </cell>
          <cell r="Q13">
            <v>226.25511624161999</v>
          </cell>
          <cell r="R13">
            <v>219.57389800609968</v>
          </cell>
          <cell r="S13">
            <v>212.89267977057938</v>
          </cell>
          <cell r="T13">
            <v>206.22109087266466</v>
          </cell>
          <cell r="U13">
            <v>199.54950197474994</v>
          </cell>
          <cell r="V13">
            <v>192.88775753955161</v>
          </cell>
          <cell r="W13">
            <v>186.22601310435331</v>
          </cell>
          <cell r="X13">
            <v>179.57389800672252</v>
          </cell>
          <cell r="Y13">
            <v>172.92178290909169</v>
          </cell>
          <cell r="Z13">
            <v>166.2786611756236</v>
          </cell>
          <cell r="AA13">
            <v>159.6355394421555</v>
          </cell>
          <cell r="AB13">
            <v>153.00038204628092</v>
          </cell>
          <cell r="AC13">
            <v>146.36522465040633</v>
          </cell>
          <cell r="AD13">
            <v>139.73665448579186</v>
          </cell>
          <cell r="AE13">
            <v>133.10808432117742</v>
          </cell>
          <cell r="AF13">
            <v>126.48443638788059</v>
          </cell>
          <cell r="AG13">
            <v>119.86078845458377</v>
          </cell>
          <cell r="AH13">
            <v>113.24018262753927</v>
          </cell>
          <cell r="AI13">
            <v>106.61957680049478</v>
          </cell>
          <cell r="AJ13">
            <v>100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J20"/>
  <sheetViews>
    <sheetView tabSelected="1" zoomScale="50" zoomScaleNormal="50" workbookViewId="0">
      <selection activeCell="AA40" sqref="AA40"/>
    </sheetView>
  </sheetViews>
  <sheetFormatPr defaultRowHeight="15" x14ac:dyDescent="0.25"/>
  <cols>
    <col min="3" max="3" width="9.28515625" customWidth="1"/>
    <col min="6" max="6" width="7.140625" customWidth="1"/>
    <col min="7" max="7" width="12.140625" customWidth="1"/>
    <col min="8" max="8" width="12.42578125" customWidth="1"/>
    <col min="9" max="36" width="7.140625" customWidth="1"/>
  </cols>
  <sheetData>
    <row r="1" spans="1:36" x14ac:dyDescent="0.25">
      <c r="B1" s="1" t="s">
        <v>0</v>
      </c>
      <c r="C1" s="1">
        <v>0.1</v>
      </c>
    </row>
    <row r="2" spans="1:36" x14ac:dyDescent="0.25">
      <c r="B2" s="1" t="s">
        <v>1</v>
      </c>
      <c r="C2" s="2">
        <f>C1/30</f>
        <v>3.3333333333333335E-3</v>
      </c>
    </row>
    <row r="3" spans="1:36" x14ac:dyDescent="0.25">
      <c r="B3" s="1" t="s">
        <v>3</v>
      </c>
      <c r="C3" s="2">
        <v>60</v>
      </c>
    </row>
    <row r="4" spans="1:36" x14ac:dyDescent="0.25">
      <c r="B4" s="1" t="s">
        <v>2</v>
      </c>
      <c r="C4" s="8">
        <f>(C8*C7*C2^2)/(2*C9)</f>
        <v>4.8594048594048603E-2</v>
      </c>
      <c r="D4">
        <v>60.013650013650022</v>
      </c>
    </row>
    <row r="5" spans="1:36" x14ac:dyDescent="0.25">
      <c r="A5" s="5"/>
      <c r="B5" s="6"/>
      <c r="C5" s="6"/>
      <c r="D5" s="5"/>
    </row>
    <row r="7" spans="1:36" x14ac:dyDescent="0.25">
      <c r="B7" s="1" t="s">
        <v>4</v>
      </c>
      <c r="C7" s="1">
        <v>400</v>
      </c>
    </row>
    <row r="8" spans="1:36" x14ac:dyDescent="0.25">
      <c r="B8" s="1" t="s">
        <v>5</v>
      </c>
      <c r="C8" s="1">
        <v>8900</v>
      </c>
    </row>
    <row r="9" spans="1:36" x14ac:dyDescent="0.25">
      <c r="B9" s="1" t="s">
        <v>6</v>
      </c>
      <c r="C9" s="1">
        <v>407</v>
      </c>
    </row>
    <row r="10" spans="1:36" x14ac:dyDescent="0.25">
      <c r="B10" s="6"/>
      <c r="C10" s="6"/>
      <c r="F10" s="1">
        <v>1</v>
      </c>
      <c r="G10" s="1">
        <v>2</v>
      </c>
      <c r="H10" s="1">
        <v>3</v>
      </c>
      <c r="I10" s="1">
        <v>4</v>
      </c>
      <c r="J10" s="1">
        <v>5</v>
      </c>
      <c r="K10" s="1">
        <v>6</v>
      </c>
      <c r="L10" s="1">
        <v>7</v>
      </c>
      <c r="M10" s="1">
        <v>8</v>
      </c>
      <c r="N10" s="1">
        <v>9</v>
      </c>
      <c r="O10" s="1">
        <v>10</v>
      </c>
      <c r="P10" s="1">
        <v>11</v>
      </c>
      <c r="Q10" s="1">
        <v>12</v>
      </c>
      <c r="R10" s="1">
        <v>13</v>
      </c>
      <c r="S10" s="1">
        <v>14</v>
      </c>
      <c r="T10" s="1">
        <v>15</v>
      </c>
      <c r="U10" s="1">
        <v>16</v>
      </c>
      <c r="V10" s="1">
        <v>17</v>
      </c>
      <c r="W10" s="1">
        <v>18</v>
      </c>
      <c r="X10" s="1">
        <v>19</v>
      </c>
      <c r="Y10" s="1">
        <v>20</v>
      </c>
      <c r="Z10" s="1">
        <v>21</v>
      </c>
      <c r="AA10" s="1">
        <v>22</v>
      </c>
      <c r="AB10" s="1">
        <v>23</v>
      </c>
      <c r="AC10" s="1">
        <v>24</v>
      </c>
      <c r="AD10" s="1">
        <v>25</v>
      </c>
      <c r="AE10" s="1">
        <v>26</v>
      </c>
      <c r="AF10" s="1">
        <v>27</v>
      </c>
      <c r="AG10" s="1">
        <v>28</v>
      </c>
      <c r="AH10" s="1">
        <v>29</v>
      </c>
      <c r="AI10" s="1">
        <v>30</v>
      </c>
      <c r="AJ10" s="1">
        <v>31</v>
      </c>
    </row>
    <row r="11" spans="1:36" x14ac:dyDescent="0.25">
      <c r="E11" t="s">
        <v>0</v>
      </c>
      <c r="F11" s="3">
        <v>0</v>
      </c>
      <c r="G11" s="3">
        <f>F11+$C$2</f>
        <v>3.3333333333333335E-3</v>
      </c>
      <c r="H11" s="3">
        <f t="shared" ref="H11:AJ11" si="0">G11+$C$2</f>
        <v>6.6666666666666671E-3</v>
      </c>
      <c r="I11" s="3">
        <f t="shared" si="0"/>
        <v>0.01</v>
      </c>
      <c r="J11" s="3">
        <f t="shared" si="0"/>
        <v>1.3333333333333334E-2</v>
      </c>
      <c r="K11" s="3">
        <f t="shared" si="0"/>
        <v>1.6666666666666666E-2</v>
      </c>
      <c r="L11" s="3">
        <f t="shared" si="0"/>
        <v>0.02</v>
      </c>
      <c r="M11" s="3">
        <f t="shared" si="0"/>
        <v>2.3333333333333334E-2</v>
      </c>
      <c r="N11" s="3">
        <f t="shared" si="0"/>
        <v>2.6666666666666668E-2</v>
      </c>
      <c r="O11" s="3">
        <f t="shared" si="0"/>
        <v>3.0000000000000002E-2</v>
      </c>
      <c r="P11" s="3">
        <f t="shared" si="0"/>
        <v>3.3333333333333333E-2</v>
      </c>
      <c r="Q11" s="3">
        <f t="shared" si="0"/>
        <v>3.6666666666666667E-2</v>
      </c>
      <c r="R11" s="3">
        <f t="shared" si="0"/>
        <v>0.04</v>
      </c>
      <c r="S11" s="3">
        <f t="shared" si="0"/>
        <v>4.3333333333333335E-2</v>
      </c>
      <c r="T11" s="3">
        <f t="shared" si="0"/>
        <v>4.6666666666666669E-2</v>
      </c>
      <c r="U11" s="3">
        <f t="shared" si="0"/>
        <v>0.05</v>
      </c>
      <c r="V11" s="3">
        <f t="shared" si="0"/>
        <v>5.3333333333333337E-2</v>
      </c>
      <c r="W11" s="3">
        <f t="shared" si="0"/>
        <v>5.6666666666666671E-2</v>
      </c>
      <c r="X11" s="3">
        <f t="shared" si="0"/>
        <v>6.0000000000000005E-2</v>
      </c>
      <c r="Y11" s="3">
        <f t="shared" si="0"/>
        <v>6.3333333333333339E-2</v>
      </c>
      <c r="Z11" s="3">
        <f t="shared" si="0"/>
        <v>6.6666666666666666E-2</v>
      </c>
      <c r="AA11" s="3">
        <f t="shared" si="0"/>
        <v>6.9999999999999993E-2</v>
      </c>
      <c r="AB11" s="3">
        <f t="shared" si="0"/>
        <v>7.333333333333332E-2</v>
      </c>
      <c r="AC11" s="3">
        <f t="shared" si="0"/>
        <v>7.6666666666666647E-2</v>
      </c>
      <c r="AD11" s="3">
        <f t="shared" si="0"/>
        <v>7.9999999999999974E-2</v>
      </c>
      <c r="AE11" s="3">
        <f t="shared" si="0"/>
        <v>8.3333333333333301E-2</v>
      </c>
      <c r="AF11" s="3">
        <f t="shared" si="0"/>
        <v>8.6666666666666628E-2</v>
      </c>
      <c r="AG11" s="3">
        <f t="shared" si="0"/>
        <v>8.9999999999999955E-2</v>
      </c>
      <c r="AH11" s="3">
        <f t="shared" si="0"/>
        <v>9.3333333333333282E-2</v>
      </c>
      <c r="AI11" s="3">
        <f t="shared" si="0"/>
        <v>9.6666666666666609E-2</v>
      </c>
      <c r="AJ11" s="3">
        <f t="shared" si="0"/>
        <v>9.9999999999999936E-2</v>
      </c>
    </row>
    <row r="12" spans="1:36" x14ac:dyDescent="0.25">
      <c r="B12" s="1" t="s">
        <v>9</v>
      </c>
      <c r="C12" s="1">
        <v>300</v>
      </c>
      <c r="E12" t="s">
        <v>7</v>
      </c>
      <c r="F12" s="4">
        <v>300</v>
      </c>
      <c r="G12" s="4">
        <v>293.30210171022196</v>
      </c>
      <c r="H12" s="4">
        <v>286.60454560064346</v>
      </c>
      <c r="I12" s="4">
        <v>279.90767010246611</v>
      </c>
      <c r="J12" s="4">
        <v>273.2118061899705</v>
      </c>
      <c r="K12" s="4">
        <v>266.51727375429272</v>
      </c>
      <c r="L12" s="4">
        <v>259.82437809862995</v>
      </c>
      <c r="M12" s="4">
        <v>253.13340659327483</v>
      </c>
      <c r="N12" s="4">
        <v>246.44462552712645</v>
      </c>
      <c r="O12" s="4">
        <v>239.75827719017309</v>
      </c>
      <c r="P12" s="4">
        <v>233.07457721891299</v>
      </c>
      <c r="Q12" s="4">
        <v>226.3937122337953</v>
      </c>
      <c r="R12" s="4">
        <v>219.71583779456739</v>
      </c>
      <c r="S12" s="4">
        <v>213.04107669593009</v>
      </c>
      <c r="T12" s="4">
        <v>206.36951762217291</v>
      </c>
      <c r="U12" s="4">
        <v>199.70121417553071</v>
      </c>
      <c r="V12" s="4">
        <v>193.03618428890636</v>
      </c>
      <c r="W12" s="4">
        <v>186.37441002939414</v>
      </c>
      <c r="X12" s="4">
        <v>179.71583779475634</v>
      </c>
      <c r="Y12" s="4">
        <v>173.06037890070087</v>
      </c>
      <c r="Z12" s="4">
        <v>166.40791055252478</v>
      </c>
      <c r="AA12" s="4">
        <v>159.75827719047888</v>
      </c>
      <c r="AB12" s="4">
        <v>153.11129219411285</v>
      </c>
      <c r="AC12" s="4">
        <v>146.466739926928</v>
      </c>
      <c r="AD12" s="4">
        <v>139.82437809893582</v>
      </c>
      <c r="AE12" s="4">
        <v>133.18394042123793</v>
      </c>
      <c r="AF12" s="4">
        <v>126.54513952354287</v>
      </c>
      <c r="AG12" s="4">
        <v>119.90767010265515</v>
      </c>
      <c r="AH12" s="4">
        <v>113.2712122674409</v>
      </c>
      <c r="AI12" s="4">
        <v>106.63543504362212</v>
      </c>
      <c r="AJ12" s="4">
        <v>100</v>
      </c>
    </row>
    <row r="13" spans="1:36" x14ac:dyDescent="0.25">
      <c r="B13" s="1" t="s">
        <v>10</v>
      </c>
      <c r="C13" s="1">
        <v>100</v>
      </c>
    </row>
    <row r="14" spans="1:36" x14ac:dyDescent="0.25">
      <c r="E14" t="s">
        <v>8</v>
      </c>
      <c r="G14" s="4">
        <f t="shared" ref="G14:AH14" si="1">G18*H14+G19</f>
        <v>293.30227186817865</v>
      </c>
      <c r="H14" s="4">
        <f t="shared" si="1"/>
        <v>286.60488405227062</v>
      </c>
      <c r="I14" s="4">
        <f t="shared" si="1"/>
        <v>279.90817313961685</v>
      </c>
      <c r="J14" s="4">
        <f t="shared" si="1"/>
        <v>273.21246830126438</v>
      </c>
      <c r="K14" s="4">
        <f t="shared" si="1"/>
        <v>266.51808768549984</v>
      </c>
      <c r="L14" s="4">
        <f t="shared" si="1"/>
        <v>259.82533493214959</v>
      </c>
      <c r="M14" s="4">
        <f t="shared" si="1"/>
        <v>253.13449584583861</v>
      </c>
      <c r="N14" s="4">
        <f t="shared" si="1"/>
        <v>246.44583526465522</v>
      </c>
      <c r="O14" s="4">
        <f t="shared" si="1"/>
        <v>239.75959415852918</v>
      </c>
      <c r="P14" s="4">
        <f t="shared" si="1"/>
        <v>233.07598698911545</v>
      </c>
      <c r="Q14" s="4">
        <f t="shared" si="1"/>
        <v>226.39519936010663</v>
      </c>
      <c r="R14" s="4">
        <f t="shared" si="1"/>
        <v>219.71738598372048</v>
      </c>
      <c r="S14" s="4">
        <f t="shared" si="1"/>
        <v>213.04266898564052</v>
      </c>
      <c r="T14" s="4">
        <f t="shared" si="1"/>
        <v>206.37113656698133</v>
      </c>
      <c r="U14" s="4">
        <f t="shared" si="1"/>
        <v>199.70284203793904</v>
      </c>
      <c r="V14" s="4">
        <f t="shared" si="1"/>
        <v>193.03780323371339</v>
      </c>
      <c r="W14" s="4">
        <f t="shared" si="1"/>
        <v>186.37600231910176</v>
      </c>
      <c r="X14" s="4">
        <f t="shared" si="1"/>
        <v>179.71738598390539</v>
      </c>
      <c r="Y14" s="4">
        <f t="shared" si="1"/>
        <v>173.06186602700711</v>
      </c>
      <c r="Z14" s="4">
        <f t="shared" si="1"/>
        <v>166.40932032272127</v>
      </c>
      <c r="AA14" s="4">
        <f t="shared" si="1"/>
        <v>159.75959415882843</v>
      </c>
      <c r="AB14" s="4">
        <f t="shared" si="1"/>
        <v>153.11250193163477</v>
      </c>
      <c r="AC14" s="4">
        <f t="shared" si="1"/>
        <v>146.46782917948491</v>
      </c>
      <c r="AD14" s="4">
        <f t="shared" si="1"/>
        <v>139.82533493244892</v>
      </c>
      <c r="AE14" s="4">
        <f t="shared" si="1"/>
        <v>133.18475435243911</v>
      </c>
      <c r="AF14" s="4">
        <f t="shared" si="1"/>
        <v>126.54580163483166</v>
      </c>
      <c r="AG14" s="4">
        <f t="shared" si="1"/>
        <v>119.90817313980179</v>
      </c>
      <c r="AH14" s="4">
        <f t="shared" si="1"/>
        <v>113.27155071906525</v>
      </c>
      <c r="AI14" s="4">
        <f>AI18*AJ14+AI19</f>
        <v>106.63560520157736</v>
      </c>
      <c r="AJ14" s="4">
        <f>AJ12</f>
        <v>100</v>
      </c>
    </row>
    <row r="15" spans="1:36" x14ac:dyDescent="0.25">
      <c r="B15" t="s">
        <v>13</v>
      </c>
      <c r="C15">
        <f>C9/(C2^2)</f>
        <v>36629999.999999993</v>
      </c>
    </row>
    <row r="16" spans="1:36" x14ac:dyDescent="0.25">
      <c r="B16" t="s">
        <v>14</v>
      </c>
      <c r="C16">
        <f>(2*C9)/(C2^2)+(C8*C7)/C4</f>
        <v>146519999.99999997</v>
      </c>
      <c r="E16" t="s">
        <v>16</v>
      </c>
    </row>
    <row r="17" spans="2:35" x14ac:dyDescent="0.25">
      <c r="B17" t="s">
        <v>15</v>
      </c>
      <c r="C17">
        <f>C15</f>
        <v>36629999.999999993</v>
      </c>
    </row>
    <row r="18" spans="2:35" x14ac:dyDescent="0.25">
      <c r="E18" t="s">
        <v>17</v>
      </c>
      <c r="F18">
        <v>0</v>
      </c>
      <c r="G18">
        <f>$C$15/($C$16-$C$17*F18)</f>
        <v>0.25</v>
      </c>
      <c r="H18">
        <f t="shared" ref="H18:AI18" si="2">$C$15/($C$16-$C$17*G18)</f>
        <v>0.26666666666666666</v>
      </c>
      <c r="I18">
        <f t="shared" si="2"/>
        <v>0.26785714285714285</v>
      </c>
      <c r="J18">
        <f t="shared" si="2"/>
        <v>0.26794258373205743</v>
      </c>
      <c r="K18">
        <f t="shared" si="2"/>
        <v>0.26794871794871794</v>
      </c>
      <c r="L18">
        <f t="shared" si="2"/>
        <v>0.26794915836482308</v>
      </c>
      <c r="M18">
        <f t="shared" si="2"/>
        <v>0.26794918998527245</v>
      </c>
      <c r="N18">
        <f t="shared" si="2"/>
        <v>0.26794919225551861</v>
      </c>
      <c r="O18">
        <f t="shared" si="2"/>
        <v>0.26794919241851489</v>
      </c>
      <c r="P18">
        <f t="shared" si="2"/>
        <v>0.26794919243021753</v>
      </c>
      <c r="Q18">
        <f t="shared" si="2"/>
        <v>0.26794919243105775</v>
      </c>
      <c r="R18">
        <f t="shared" si="2"/>
        <v>0.26794919243111803</v>
      </c>
      <c r="S18">
        <f t="shared" si="2"/>
        <v>0.26794919243112242</v>
      </c>
      <c r="T18">
        <f t="shared" si="2"/>
        <v>0.2679491924311227</v>
      </c>
      <c r="U18">
        <f t="shared" si="2"/>
        <v>0.2679491924311227</v>
      </c>
      <c r="V18">
        <f t="shared" si="2"/>
        <v>0.2679491924311227</v>
      </c>
      <c r="W18">
        <f t="shared" si="2"/>
        <v>0.2679491924311227</v>
      </c>
      <c r="X18">
        <f t="shared" si="2"/>
        <v>0.2679491924311227</v>
      </c>
      <c r="Y18">
        <f t="shared" si="2"/>
        <v>0.2679491924311227</v>
      </c>
      <c r="Z18">
        <f t="shared" si="2"/>
        <v>0.2679491924311227</v>
      </c>
      <c r="AA18">
        <f t="shared" si="2"/>
        <v>0.2679491924311227</v>
      </c>
      <c r="AB18">
        <f t="shared" si="2"/>
        <v>0.2679491924311227</v>
      </c>
      <c r="AC18">
        <f t="shared" si="2"/>
        <v>0.2679491924311227</v>
      </c>
      <c r="AD18">
        <f t="shared" si="2"/>
        <v>0.2679491924311227</v>
      </c>
      <c r="AE18">
        <f t="shared" si="2"/>
        <v>0.2679491924311227</v>
      </c>
      <c r="AF18">
        <f t="shared" si="2"/>
        <v>0.2679491924311227</v>
      </c>
      <c r="AG18">
        <f t="shared" si="2"/>
        <v>0.2679491924311227</v>
      </c>
      <c r="AH18">
        <f t="shared" si="2"/>
        <v>0.2679491924311227</v>
      </c>
      <c r="AI18">
        <f t="shared" si="2"/>
        <v>0.2679491924311227</v>
      </c>
    </row>
    <row r="19" spans="2:35" x14ac:dyDescent="0.25">
      <c r="E19" t="s">
        <v>18</v>
      </c>
      <c r="F19">
        <f>F12</f>
        <v>300</v>
      </c>
      <c r="G19">
        <f>(F19*$C$17-G20)/($C$16-$C$17*F18)</f>
        <v>221.65105085511098</v>
      </c>
      <c r="H19">
        <f t="shared" ref="H19:AI19" si="3">(G19*$C$17-H20)/($C$16-$C$17*G18)</f>
        <v>211.96270454837278</v>
      </c>
      <c r="I19">
        <f t="shared" si="3"/>
        <v>206.72626198749245</v>
      </c>
      <c r="J19">
        <f t="shared" si="3"/>
        <v>201.80092327548454</v>
      </c>
      <c r="K19">
        <f t="shared" si="3"/>
        <v>196.89822229983415</v>
      </c>
      <c r="L19">
        <f t="shared" si="3"/>
        <v>191.99815981715332</v>
      </c>
      <c r="M19">
        <f t="shared" si="3"/>
        <v>187.09953391143037</v>
      </c>
      <c r="N19">
        <f t="shared" si="3"/>
        <v>182.20244567436634</v>
      </c>
      <c r="O19">
        <f t="shared" si="3"/>
        <v>177.3070716726474</v>
      </c>
      <c r="P19">
        <f t="shared" si="3"/>
        <v>172.41357615049679</v>
      </c>
      <c r="Q19">
        <f t="shared" si="3"/>
        <v>167.52210322270574</v>
      </c>
      <c r="R19">
        <f t="shared" si="3"/>
        <v>162.6327748756481</v>
      </c>
      <c r="S19">
        <f t="shared" si="3"/>
        <v>157.745689601425</v>
      </c>
      <c r="T19">
        <f t="shared" si="3"/>
        <v>152.86092131671552</v>
      </c>
      <c r="U19">
        <f t="shared" si="3"/>
        <v>147.97851855278756</v>
      </c>
      <c r="V19">
        <f t="shared" si="3"/>
        <v>143.09850392376902</v>
      </c>
      <c r="W19">
        <f t="shared" si="3"/>
        <v>138.22087387888195</v>
      </c>
      <c r="X19">
        <f t="shared" si="3"/>
        <v>133.34559874134567</v>
      </c>
      <c r="Y19">
        <f t="shared" si="3"/>
        <v>128.47262303352193</v>
      </c>
      <c r="Z19">
        <f t="shared" si="3"/>
        <v>123.60186608473929</v>
      </c>
      <c r="AA19">
        <f t="shared" si="3"/>
        <v>118.73322291513819</v>
      </c>
      <c r="AB19">
        <f t="shared" si="3"/>
        <v>113.86656538585216</v>
      </c>
      <c r="AC19">
        <f t="shared" si="3"/>
        <v>109.00174360292398</v>
      </c>
      <c r="AD19">
        <f t="shared" si="3"/>
        <v>104.1385875595754</v>
      </c>
      <c r="AE19">
        <f t="shared" si="3"/>
        <v>99.276908998836916</v>
      </c>
      <c r="AF19">
        <f t="shared" si="3"/>
        <v>94.416503476130529</v>
      </c>
      <c r="AG19">
        <f t="shared" si="3"/>
        <v>89.557152599207299</v>
      </c>
      <c r="AH19">
        <f t="shared" si="3"/>
        <v>84.698626420898563</v>
      </c>
      <c r="AI19">
        <f t="shared" si="3"/>
        <v>79.840685958465102</v>
      </c>
    </row>
    <row r="20" spans="2:35" x14ac:dyDescent="0.25">
      <c r="E20" t="s">
        <v>19</v>
      </c>
      <c r="F20">
        <f>-(($C$8*$C$7)/$C$4)*F12</f>
        <v>-21977999999.999996</v>
      </c>
      <c r="G20">
        <f t="shared" ref="G20:AI20" si="4">-(($C$8*$C$7)/$C$4)*G12</f>
        <v>-21487311971.290855</v>
      </c>
      <c r="H20">
        <f t="shared" si="4"/>
        <v>-20996649010.703136</v>
      </c>
      <c r="I20">
        <f t="shared" si="4"/>
        <v>-20506035911.706665</v>
      </c>
      <c r="J20">
        <f t="shared" si="4"/>
        <v>-20015496921.477234</v>
      </c>
      <c r="K20">
        <f t="shared" si="4"/>
        <v>-19525055475.239479</v>
      </c>
      <c r="L20">
        <f t="shared" si="4"/>
        <v>-19034733939.505627</v>
      </c>
      <c r="M20">
        <f t="shared" si="4"/>
        <v>-18544553367.023312</v>
      </c>
      <c r="N20">
        <f t="shared" si="4"/>
        <v>-18054533266.117279</v>
      </c>
      <c r="O20">
        <f t="shared" si="4"/>
        <v>-17564691386.952076</v>
      </c>
      <c r="P20">
        <f t="shared" si="4"/>
        <v>-17075043527.057562</v>
      </c>
      <c r="Q20">
        <f t="shared" si="4"/>
        <v>-16585603358.247841</v>
      </c>
      <c r="R20">
        <f t="shared" si="4"/>
        <v>-16096382276.830004</v>
      </c>
      <c r="S20">
        <f t="shared" si="4"/>
        <v>-15607389278.743835</v>
      </c>
      <c r="T20">
        <f t="shared" si="4"/>
        <v>-15118630861.000383</v>
      </c>
      <c r="U20">
        <f t="shared" si="4"/>
        <v>-14630110950.499376</v>
      </c>
      <c r="V20">
        <f t="shared" si="4"/>
        <v>-14141830861.005278</v>
      </c>
      <c r="W20">
        <f t="shared" si="4"/>
        <v>-13653789278.753412</v>
      </c>
      <c r="X20">
        <f t="shared" si="4"/>
        <v>-13165982276.843847</v>
      </c>
      <c r="Y20">
        <f t="shared" si="4"/>
        <v>-12678403358.265343</v>
      </c>
      <c r="Z20">
        <f t="shared" si="4"/>
        <v>-12191043527.077963</v>
      </c>
      <c r="AA20">
        <f t="shared" si="4"/>
        <v>-11703891386.97448</v>
      </c>
      <c r="AB20">
        <f t="shared" si="4"/>
        <v>-11216933266.140705</v>
      </c>
      <c r="AC20">
        <f t="shared" si="4"/>
        <v>-10730153367.046743</v>
      </c>
      <c r="AD20">
        <f t="shared" si="4"/>
        <v>-10243533939.528036</v>
      </c>
      <c r="AE20">
        <f t="shared" si="4"/>
        <v>-9757055475.2598896</v>
      </c>
      <c r="AF20">
        <f t="shared" si="4"/>
        <v>-9270696921.4947491</v>
      </c>
      <c r="AG20">
        <f t="shared" si="4"/>
        <v>-8784435911.7205143</v>
      </c>
      <c r="AH20">
        <f t="shared" si="4"/>
        <v>-8298249010.712719</v>
      </c>
      <c r="AI20">
        <f t="shared" si="4"/>
        <v>-7812111971.2957554</v>
      </c>
    </row>
  </sheetData>
  <conditionalFormatting sqref="F12:AJ12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B3:AJ15"/>
  <sheetViews>
    <sheetView zoomScale="60" zoomScaleNormal="60" workbookViewId="0">
      <selection activeCell="C34" sqref="C34"/>
    </sheetView>
  </sheetViews>
  <sheetFormatPr defaultRowHeight="15" x14ac:dyDescent="0.25"/>
  <cols>
    <col min="3" max="3" width="9.28515625" customWidth="1"/>
    <col min="6" max="6" width="7.140625" customWidth="1"/>
    <col min="7" max="7" width="12.140625" customWidth="1"/>
    <col min="8" max="8" width="12.42578125" customWidth="1"/>
    <col min="9" max="36" width="7.140625" customWidth="1"/>
  </cols>
  <sheetData>
    <row r="3" spans="2:36" x14ac:dyDescent="0.25">
      <c r="B3" s="1" t="s">
        <v>0</v>
      </c>
      <c r="C3" s="1">
        <v>0.1</v>
      </c>
    </row>
    <row r="4" spans="2:36" x14ac:dyDescent="0.25">
      <c r="B4" s="1" t="s">
        <v>1</v>
      </c>
      <c r="C4" s="2">
        <f>C3/30</f>
        <v>3.3333333333333335E-3</v>
      </c>
    </row>
    <row r="5" spans="2:36" x14ac:dyDescent="0.25">
      <c r="B5" s="1" t="s">
        <v>2</v>
      </c>
      <c r="C5" s="2">
        <f>(C9*C8*C4^2)/(2*C10)</f>
        <v>4.8594048594048603E-2</v>
      </c>
    </row>
    <row r="6" spans="2:36" x14ac:dyDescent="0.25">
      <c r="B6" s="1" t="s">
        <v>3</v>
      </c>
      <c r="C6" s="1">
        <v>60</v>
      </c>
      <c r="D6">
        <v>60.013650013650022</v>
      </c>
    </row>
    <row r="7" spans="2:36" x14ac:dyDescent="0.25">
      <c r="B7" s="4"/>
      <c r="C7" s="4"/>
    </row>
    <row r="8" spans="2:36" x14ac:dyDescent="0.25">
      <c r="B8" s="1" t="s">
        <v>4</v>
      </c>
      <c r="C8" s="1">
        <v>400</v>
      </c>
    </row>
    <row r="9" spans="2:36" x14ac:dyDescent="0.25">
      <c r="B9" s="1" t="s">
        <v>5</v>
      </c>
      <c r="C9" s="1">
        <v>8900</v>
      </c>
    </row>
    <row r="10" spans="2:36" x14ac:dyDescent="0.25">
      <c r="B10" s="1" t="s">
        <v>6</v>
      </c>
      <c r="C10" s="1">
        <v>407</v>
      </c>
    </row>
    <row r="11" spans="2:36" x14ac:dyDescent="0.25">
      <c r="B11" s="4"/>
      <c r="C11" s="4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25">
      <c r="B12" s="1" t="s">
        <v>9</v>
      </c>
      <c r="C12" s="1">
        <v>300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25">
      <c r="B13" s="1" t="s">
        <v>10</v>
      </c>
      <c r="C13" s="1">
        <v>100</v>
      </c>
      <c r="E13" t="s">
        <v>7</v>
      </c>
      <c r="F13" s="4">
        <v>300</v>
      </c>
      <c r="G13" s="4">
        <v>293.3033207019663</v>
      </c>
      <c r="H13" s="4">
        <v>286.6066414039326</v>
      </c>
      <c r="I13" s="4">
        <v>279.91127380190864</v>
      </c>
      <c r="J13" s="4">
        <v>273.21590619988467</v>
      </c>
      <c r="K13" s="4">
        <v>266.52310466246985</v>
      </c>
      <c r="L13" s="4">
        <v>259.83030312505502</v>
      </c>
      <c r="M13" s="4">
        <v>253.14120987151131</v>
      </c>
      <c r="N13" s="4">
        <v>246.45211661796756</v>
      </c>
      <c r="O13" s="4">
        <v>239.76771179775639</v>
      </c>
      <c r="P13" s="4">
        <v>233.08330697754522</v>
      </c>
      <c r="Q13" s="4">
        <v>226.40436583309287</v>
      </c>
      <c r="R13" s="4">
        <v>219.72542468864049</v>
      </c>
      <c r="S13" s="4">
        <v>213.05248367352402</v>
      </c>
      <c r="T13" s="4">
        <v>206.37954265840756</v>
      </c>
      <c r="U13" s="4">
        <v>199.71287599175969</v>
      </c>
      <c r="V13" s="4">
        <v>193.04620932511185</v>
      </c>
      <c r="W13" s="4">
        <v>186.38581700692936</v>
      </c>
      <c r="X13" s="4">
        <v>179.72542468874684</v>
      </c>
      <c r="Y13" s="4">
        <v>173.07103249989103</v>
      </c>
      <c r="Z13" s="4">
        <v>166.41664031103522</v>
      </c>
      <c r="AA13" s="4">
        <v>159.76771179792468</v>
      </c>
      <c r="AB13" s="4">
        <v>153.11878328481413</v>
      </c>
      <c r="AC13" s="4">
        <v>146.47454320502061</v>
      </c>
      <c r="AD13" s="4">
        <v>139.83030312522709</v>
      </c>
      <c r="AE13" s="4">
        <v>133.18977132928978</v>
      </c>
      <c r="AF13" s="4">
        <v>126.54923953335248</v>
      </c>
      <c r="AG13" s="4">
        <v>119.91127380201269</v>
      </c>
      <c r="AH13" s="4">
        <v>113.2733080706729</v>
      </c>
      <c r="AI13" s="4">
        <v>106.63665403533645</v>
      </c>
      <c r="AJ13" s="4">
        <v>100</v>
      </c>
    </row>
    <row r="14" spans="2:36" x14ac:dyDescent="0.25">
      <c r="B14" s="7" t="s">
        <v>12</v>
      </c>
      <c r="C14">
        <v>1000</v>
      </c>
    </row>
    <row r="15" spans="2:36" x14ac:dyDescent="0.25">
      <c r="B15" t="s">
        <v>11</v>
      </c>
      <c r="C15">
        <v>392</v>
      </c>
      <c r="E15" t="s">
        <v>8</v>
      </c>
      <c r="G15" s="4">
        <f>G13+(($C$10*$C$5)/($C$9*$C$8))*((H13-2*G13+F13)/($C$4^2))</f>
        <v>293.3033207019663</v>
      </c>
      <c r="H15" s="4">
        <f t="shared" ref="H15:AI15" si="1">H13+(($C$10*$C$5)/($C$9*$C$8))*((I13-2*H13+G13)/($C$4^2))</f>
        <v>286.60729725193744</v>
      </c>
      <c r="I15" s="4">
        <f t="shared" si="1"/>
        <v>279.91127380190864</v>
      </c>
      <c r="J15" s="4">
        <f t="shared" si="1"/>
        <v>273.21718923218924</v>
      </c>
      <c r="K15" s="4">
        <f t="shared" si="1"/>
        <v>266.52310466246985</v>
      </c>
      <c r="L15" s="4">
        <f t="shared" si="1"/>
        <v>259.83215726699058</v>
      </c>
      <c r="M15" s="4">
        <f t="shared" si="1"/>
        <v>253.14120987151131</v>
      </c>
      <c r="N15" s="4">
        <f t="shared" si="1"/>
        <v>246.45446083463384</v>
      </c>
      <c r="O15" s="4">
        <f t="shared" si="1"/>
        <v>239.76771179775639</v>
      </c>
      <c r="P15" s="4">
        <f t="shared" si="1"/>
        <v>233.08603881542462</v>
      </c>
      <c r="Q15" s="4">
        <f t="shared" si="1"/>
        <v>226.40436583309287</v>
      </c>
      <c r="R15" s="4">
        <f t="shared" si="1"/>
        <v>219.72842475330845</v>
      </c>
      <c r="S15" s="4">
        <f t="shared" si="1"/>
        <v>213.05248367352402</v>
      </c>
      <c r="T15" s="4">
        <f t="shared" si="1"/>
        <v>206.38267983264186</v>
      </c>
      <c r="U15" s="4">
        <f t="shared" si="1"/>
        <v>199.71287599175969</v>
      </c>
      <c r="V15" s="4">
        <f t="shared" si="1"/>
        <v>193.04934649934452</v>
      </c>
      <c r="W15" s="4">
        <f t="shared" si="1"/>
        <v>186.38581700692936</v>
      </c>
      <c r="X15" s="4">
        <f t="shared" si="1"/>
        <v>179.7284247534102</v>
      </c>
      <c r="Y15" s="4">
        <f t="shared" si="1"/>
        <v>173.07103249989103</v>
      </c>
      <c r="Z15" s="4">
        <f t="shared" si="1"/>
        <v>166.41937214890785</v>
      </c>
      <c r="AA15" s="4">
        <f t="shared" si="1"/>
        <v>159.76771179792468</v>
      </c>
      <c r="AB15" s="4">
        <f t="shared" si="1"/>
        <v>153.12112750147264</v>
      </c>
      <c r="AC15" s="4">
        <f t="shared" si="1"/>
        <v>146.47454320502061</v>
      </c>
      <c r="AD15" s="4">
        <f t="shared" si="1"/>
        <v>139.8321572671552</v>
      </c>
      <c r="AE15" s="4">
        <f t="shared" si="1"/>
        <v>133.18977132928978</v>
      </c>
      <c r="AF15" s="4">
        <f t="shared" si="1"/>
        <v>126.55052256565124</v>
      </c>
      <c r="AG15" s="4">
        <f t="shared" si="1"/>
        <v>119.91127380201269</v>
      </c>
      <c r="AH15" s="4">
        <f t="shared" si="1"/>
        <v>113.27396391867457</v>
      </c>
      <c r="AI15" s="4">
        <f t="shared" si="1"/>
        <v>106.63665403533645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неявная схема</vt:lpstr>
      <vt:lpstr>явная схема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о</dc:creator>
  <cp:lastModifiedBy>днс</cp:lastModifiedBy>
  <dcterms:created xsi:type="dcterms:W3CDTF">2021-09-07T10:42:55Z</dcterms:created>
  <dcterms:modified xsi:type="dcterms:W3CDTF">2021-11-01T09:53:55Z</dcterms:modified>
</cp:coreProperties>
</file>