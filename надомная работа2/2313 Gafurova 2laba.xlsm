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нс\Desktop\МСС\"/>
    </mc:Choice>
  </mc:AlternateContent>
  <xr:revisionPtr revIDLastSave="0" documentId="13_ncr:1_{DA04C717-598E-4996-83B1-EA1DACF9CFCA}" xr6:coauthVersionLast="47" xr6:coauthVersionMax="47" xr10:uidLastSave="{00000000-0000-0000-0000-000000000000}"/>
  <bookViews>
    <workbookView xWindow="-120" yWindow="-120" windowWidth="20730" windowHeight="11160" xr2:uid="{EB9E5674-D5C9-4037-BC23-65906B87886F}"/>
  </bookViews>
  <sheets>
    <sheet name="неявная схема" sheetId="6" r:id="rId1"/>
    <sheet name="явная схема" sheetId="7" r:id="rId2"/>
  </sheets>
  <externalReferences>
    <externalReference r:id="rId3"/>
    <externalReference r:id="rId4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7" l="1"/>
  <c r="AI15" i="7" s="1"/>
  <c r="C4" i="7"/>
  <c r="G12" i="7" s="1"/>
  <c r="H12" i="7" s="1"/>
  <c r="I12" i="7" s="1"/>
  <c r="J12" i="7" s="1"/>
  <c r="K12" i="7" s="1"/>
  <c r="L12" i="7" s="1"/>
  <c r="M12" i="7" s="1"/>
  <c r="N12" i="7" s="1"/>
  <c r="O12" i="7" s="1"/>
  <c r="P12" i="7" s="1"/>
  <c r="Q12" i="7" s="1"/>
  <c r="R12" i="7" s="1"/>
  <c r="S12" i="7" s="1"/>
  <c r="T12" i="7" s="1"/>
  <c r="U12" i="7" s="1"/>
  <c r="V12" i="7" s="1"/>
  <c r="W12" i="7" s="1"/>
  <c r="X12" i="7" s="1"/>
  <c r="Y12" i="7" s="1"/>
  <c r="Z12" i="7" s="1"/>
  <c r="AA12" i="7" s="1"/>
  <c r="AB12" i="7" s="1"/>
  <c r="AC12" i="7" s="1"/>
  <c r="AD12" i="7" s="1"/>
  <c r="AE12" i="7" s="1"/>
  <c r="AF12" i="7" s="1"/>
  <c r="AG12" i="7" s="1"/>
  <c r="AH12" i="7" s="1"/>
  <c r="AI12" i="7" s="1"/>
  <c r="AJ12" i="7" s="1"/>
  <c r="F19" i="6"/>
  <c r="AJ14" i="6"/>
  <c r="C2" i="6"/>
  <c r="G11" i="6" s="1"/>
  <c r="H11" i="6" s="1"/>
  <c r="I11" i="6" s="1"/>
  <c r="J11" i="6" s="1"/>
  <c r="K11" i="6" s="1"/>
  <c r="L11" i="6" s="1"/>
  <c r="M11" i="6" s="1"/>
  <c r="N11" i="6" s="1"/>
  <c r="O11" i="6" s="1"/>
  <c r="P11" i="6" s="1"/>
  <c r="Q11" i="6" s="1"/>
  <c r="R11" i="6" s="1"/>
  <c r="S11" i="6" s="1"/>
  <c r="T11" i="6" s="1"/>
  <c r="U11" i="6" s="1"/>
  <c r="V11" i="6" s="1"/>
  <c r="W11" i="6" s="1"/>
  <c r="X11" i="6" s="1"/>
  <c r="Y11" i="6" s="1"/>
  <c r="Z11" i="6" s="1"/>
  <c r="AA11" i="6" s="1"/>
  <c r="AB11" i="6" s="1"/>
  <c r="AC11" i="6" s="1"/>
  <c r="AD11" i="6" s="1"/>
  <c r="AE11" i="6" s="1"/>
  <c r="AF11" i="6" s="1"/>
  <c r="AG11" i="6" s="1"/>
  <c r="AH11" i="6" s="1"/>
  <c r="AI11" i="6" s="1"/>
  <c r="AJ11" i="6" s="1"/>
  <c r="H15" i="7" l="1"/>
  <c r="J15" i="7"/>
  <c r="L15" i="7"/>
  <c r="N15" i="7"/>
  <c r="P15" i="7"/>
  <c r="R15" i="7"/>
  <c r="T15" i="7"/>
  <c r="V15" i="7"/>
  <c r="X15" i="7"/>
  <c r="Z15" i="7"/>
  <c r="AB15" i="7"/>
  <c r="AD15" i="7"/>
  <c r="AF15" i="7"/>
  <c r="AH15" i="7"/>
  <c r="G15" i="7"/>
  <c r="I15" i="7"/>
  <c r="K15" i="7"/>
  <c r="M15" i="7"/>
  <c r="O15" i="7"/>
  <c r="Q15" i="7"/>
  <c r="S15" i="7"/>
  <c r="U15" i="7"/>
  <c r="W15" i="7"/>
  <c r="Y15" i="7"/>
  <c r="AA15" i="7"/>
  <c r="AC15" i="7"/>
  <c r="AE15" i="7"/>
  <c r="AG15" i="7"/>
  <c r="C15" i="6"/>
  <c r="C4" i="6"/>
  <c r="C16" i="6" s="1"/>
  <c r="AI20" i="6" l="1"/>
  <c r="AG20" i="6"/>
  <c r="AE20" i="6"/>
  <c r="AC20" i="6"/>
  <c r="AA20" i="6"/>
  <c r="Y20" i="6"/>
  <c r="W20" i="6"/>
  <c r="U20" i="6"/>
  <c r="S20" i="6"/>
  <c r="Q20" i="6"/>
  <c r="O20" i="6"/>
  <c r="M20" i="6"/>
  <c r="K20" i="6"/>
  <c r="I20" i="6"/>
  <c r="G20" i="6"/>
  <c r="AH20" i="6"/>
  <c r="AF20" i="6"/>
  <c r="AD20" i="6"/>
  <c r="AB20" i="6"/>
  <c r="Z20" i="6"/>
  <c r="X20" i="6"/>
  <c r="V20" i="6"/>
  <c r="T20" i="6"/>
  <c r="R20" i="6"/>
  <c r="P20" i="6"/>
  <c r="L20" i="6"/>
  <c r="H20" i="6"/>
  <c r="N20" i="6"/>
  <c r="J20" i="6"/>
  <c r="F20" i="6"/>
  <c r="C17" i="6"/>
  <c r="G19" i="6" s="1"/>
  <c r="G18" i="6" l="1"/>
  <c r="H19" i="6" s="1"/>
  <c r="H18" i="6" l="1"/>
  <c r="I18" i="6" l="1"/>
  <c r="I19" i="6"/>
  <c r="J19" i="6" s="1"/>
  <c r="J18" i="6" l="1"/>
  <c r="K18" i="6" l="1"/>
  <c r="K19" i="6"/>
  <c r="L19" i="6" s="1"/>
  <c r="L18" i="6" l="1"/>
  <c r="M18" i="6" l="1"/>
  <c r="M19" i="6"/>
  <c r="N18" i="6" l="1"/>
  <c r="N19" i="6"/>
  <c r="O19" i="6" s="1"/>
  <c r="O18" i="6" l="1"/>
  <c r="P18" i="6" l="1"/>
  <c r="P19" i="6"/>
  <c r="Q19" i="6" s="1"/>
  <c r="Q18" i="6" l="1"/>
  <c r="R19" i="6"/>
  <c r="R18" i="6" l="1"/>
  <c r="S19" i="6"/>
  <c r="S18" i="6" l="1"/>
  <c r="T18" i="6" l="1"/>
  <c r="T19" i="6"/>
  <c r="U18" i="6" l="1"/>
  <c r="U19" i="6"/>
  <c r="V18" i="6" l="1"/>
  <c r="V19" i="6"/>
  <c r="W18" i="6" l="1"/>
  <c r="W19" i="6"/>
  <c r="X18" i="6" l="1"/>
  <c r="X19" i="6"/>
  <c r="Y18" i="6" l="1"/>
  <c r="Y19" i="6"/>
  <c r="Z18" i="6" l="1"/>
  <c r="Z19" i="6"/>
  <c r="AA18" i="6" l="1"/>
  <c r="AA19" i="6"/>
  <c r="AB18" i="6" l="1"/>
  <c r="AB19" i="6"/>
  <c r="AC18" i="6" l="1"/>
  <c r="AC19" i="6"/>
  <c r="AD18" i="6" l="1"/>
  <c r="AD19" i="6"/>
  <c r="AE18" i="6" l="1"/>
  <c r="AE19" i="6"/>
  <c r="AF18" i="6" l="1"/>
  <c r="AF19" i="6"/>
  <c r="AG18" i="6" l="1"/>
  <c r="AG19" i="6"/>
  <c r="AH19" i="6" s="1"/>
  <c r="AH18" i="6" l="1"/>
  <c r="AI19" i="6"/>
  <c r="AI18" i="6" l="1"/>
  <c r="AI14" i="6" s="1"/>
  <c r="AH14" i="6" s="1"/>
  <c r="AG14" i="6" s="1"/>
  <c r="AF14" i="6" s="1"/>
  <c r="AE14" i="6" s="1"/>
  <c r="AD14" i="6" s="1"/>
  <c r="AC14" i="6" s="1"/>
  <c r="AB14" i="6" s="1"/>
  <c r="AA14" i="6" s="1"/>
  <c r="Z14" i="6" s="1"/>
  <c r="Y14" i="6" s="1"/>
  <c r="X14" i="6" s="1"/>
  <c r="W14" i="6" s="1"/>
  <c r="V14" i="6" s="1"/>
  <c r="U14" i="6" s="1"/>
  <c r="T14" i="6" s="1"/>
  <c r="S14" i="6" s="1"/>
  <c r="R14" i="6" s="1"/>
  <c r="Q14" i="6" s="1"/>
  <c r="P14" i="6" s="1"/>
  <c r="O14" i="6" s="1"/>
  <c r="N14" i="6" s="1"/>
  <c r="M14" i="6" s="1"/>
  <c r="L14" i="6" s="1"/>
  <c r="K14" i="6" s="1"/>
  <c r="J14" i="6" s="1"/>
  <c r="I14" i="6" s="1"/>
  <c r="H14" i="6" s="1"/>
  <c r="G14" i="6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<sst xmlns="http://schemas.openxmlformats.org/spreadsheetml/2006/main" count="33" uniqueCount="20">
  <si>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</si>
  <si>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</si>
  <si>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</si>
  <si>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</si>
  <si>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</si>
  <si>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</si>
  <si>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</si>
  <si>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</si>
  <si>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</si>
  <si>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</si>
  <si>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</si>
  <si>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</t>
  </si>
  <si>
    <t>B</t>
  </si>
  <si>
    <t>C</t>
  </si>
  <si>
    <t>q</t>
  </si>
  <si>
    <t>F</t>
  </si>
  <si>
    <t>alpha</t>
  </si>
  <si>
    <t>beta</t>
  </si>
  <si>
    <t>α</t>
  </si>
  <si>
    <t>t_gas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</si>
</sst>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73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/>
    <xf numFmtId="0" fontId="0" fillId="0" borderId="1" xfId="0" applyBorder="1" applyAlignment="1">
      <alignment horizontal="center"/>
    </xf>
    <xf numFmtId="173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'[1]неявная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18-4C3D-B3AD-15E0CA255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'[1]неявная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1E-427D-B010-CBC4A15D9AF0}"/>
            </c:ext>
          </c:extLst>
        </c:ser>
        <c:ser>
          <c:idx val="1"/>
          <c:order val="1"/>
          <c:marker>
            <c:symbol val="none"/>
          </c:marker>
          <c:xVal>
            <c:numRef>
              <c:f>'[1]явная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'[1]явная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293.31150923474934</c:v>
                </c:pt>
                <c:pt idx="2">
                  <c:v>286.62301846949873</c:v>
                </c:pt>
                <c:pt idx="3">
                  <c:v>279.93548152208052</c:v>
                </c:pt>
                <c:pt idx="4">
                  <c:v>273.24794457466231</c:v>
                </c:pt>
                <c:pt idx="5">
                  <c:v>266.56227357649266</c:v>
                </c:pt>
                <c:pt idx="6">
                  <c:v>259.87660257832295</c:v>
                </c:pt>
                <c:pt idx="7">
                  <c:v>253.1936281098817</c:v>
                </c:pt>
                <c:pt idx="8">
                  <c:v>246.51065364144046</c:v>
                </c:pt>
                <c:pt idx="9">
                  <c:v>239.83108843191883</c:v>
                </c:pt>
                <c:pt idx="10">
                  <c:v>233.15152322239717</c:v>
                </c:pt>
                <c:pt idx="11">
                  <c:v>226.47593100001174</c:v>
                </c:pt>
                <c:pt idx="12">
                  <c:v>219.80033877762631</c:v>
                </c:pt>
                <c:pt idx="13">
                  <c:v>213.12910963199113</c:v>
                </c:pt>
                <c:pt idx="14">
                  <c:v>206.45788048635592</c:v>
                </c:pt>
                <c:pt idx="15">
                  <c:v>199.79121381969446</c:v>
                </c:pt>
                <c:pt idx="16">
                  <c:v>193.12454715303301</c:v>
                </c:pt>
                <c:pt idx="17">
                  <c:v>186.46244296534442</c:v>
                </c:pt>
                <c:pt idx="18">
                  <c:v>179.80033877765584</c:v>
                </c:pt>
                <c:pt idx="19">
                  <c:v>173.14259766671492</c:v>
                </c:pt>
                <c:pt idx="20">
                  <c:v>166.484856555774</c:v>
                </c:pt>
                <c:pt idx="21">
                  <c:v>159.83108843196555</c:v>
                </c:pt>
                <c:pt idx="22">
                  <c:v>153.17732030815708</c:v>
                </c:pt>
                <c:pt idx="23">
                  <c:v>146.52696144326387</c:v>
                </c:pt>
                <c:pt idx="24">
                  <c:v>139.87660257837069</c:v>
                </c:pt>
                <c:pt idx="25">
                  <c:v>133.22894024320181</c:v>
                </c:pt>
                <c:pt idx="26">
                  <c:v>126.58127790803294</c:v>
                </c:pt>
                <c:pt idx="27">
                  <c:v>119.93548152210937</c:v>
                </c:pt>
                <c:pt idx="28">
                  <c:v>113.28968513618581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1E-427D-B010-CBC4A15D9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[2]Лист1!$F$12:$AJ$12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[2]Лист1!$F$13:$AJ$13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293.28624346693624</c:v>
                </c:pt>
                <c:pt idx="2">
                  <c:v>286.57351596044163</c:v>
                </c:pt>
                <c:pt idx="3">
                  <c:v>279.86078845394701</c:v>
                </c:pt>
                <c:pt idx="4">
                  <c:v>273.15110305375981</c:v>
                </c:pt>
                <c:pt idx="5">
                  <c:v>266.44141765357256</c:v>
                </c:pt>
                <c:pt idx="6">
                  <c:v>259.73665448478408</c:v>
                </c:pt>
                <c:pt idx="7">
                  <c:v>253.03189131599561</c:v>
                </c:pt>
                <c:pt idx="8">
                  <c:v>246.33371537856041</c:v>
                </c:pt>
                <c:pt idx="9">
                  <c:v>239.63553944112522</c:v>
                </c:pt>
                <c:pt idx="10">
                  <c:v>232.9453278413726</c:v>
                </c:pt>
                <c:pt idx="11">
                  <c:v>226.25511624161999</c:v>
                </c:pt>
                <c:pt idx="12">
                  <c:v>219.57389800609968</c:v>
                </c:pt>
                <c:pt idx="13">
                  <c:v>212.89267977057938</c:v>
                </c:pt>
                <c:pt idx="14">
                  <c:v>206.22109087266466</c:v>
                </c:pt>
                <c:pt idx="15">
                  <c:v>199.54950197474994</c:v>
                </c:pt>
                <c:pt idx="16">
                  <c:v>192.88775753955161</c:v>
                </c:pt>
                <c:pt idx="17">
                  <c:v>186.22601310435331</c:v>
                </c:pt>
                <c:pt idx="18">
                  <c:v>179.57389800672252</c:v>
                </c:pt>
                <c:pt idx="19">
                  <c:v>172.92178290909169</c:v>
                </c:pt>
                <c:pt idx="20">
                  <c:v>166.2786611756236</c:v>
                </c:pt>
                <c:pt idx="21">
                  <c:v>159.6355394421555</c:v>
                </c:pt>
                <c:pt idx="22">
                  <c:v>153.00038204628092</c:v>
                </c:pt>
                <c:pt idx="23">
                  <c:v>146.36522465040633</c:v>
                </c:pt>
                <c:pt idx="24">
                  <c:v>139.73665448579186</c:v>
                </c:pt>
                <c:pt idx="25">
                  <c:v>133.10808432117742</c:v>
                </c:pt>
                <c:pt idx="26">
                  <c:v>126.48443638788059</c:v>
                </c:pt>
                <c:pt idx="27">
                  <c:v>119.86078845458377</c:v>
                </c:pt>
                <c:pt idx="28">
                  <c:v>113.24018262753927</c:v>
                </c:pt>
                <c:pt idx="29">
                  <c:v>106.61957680049478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5E-4BE2-9B0B-11203A650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160960"/>
        <c:axId val="91162496"/>
      </c:scatterChart>
      <c:valAx>
        <c:axId val="9116096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2496"/>
        <c:crosses val="autoZero"/>
        <c:crossBetween val="midCat"/>
      </c:valAx>
      <c:valAx>
        <c:axId val="911624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9116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23</xdr:row>
      <xdr:rowOff>102394</xdr:rowOff>
    </xdr:from>
    <xdr:to>
      <xdr:col>10</xdr:col>
      <xdr:colOff>476249</xdr:colOff>
      <xdr:row>43</xdr:row>
      <xdr:rowOff>102394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DFF30DD-EE90-4CAD-97A2-61CFBE9544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554832</xdr:colOff>
      <xdr:row>23</xdr:row>
      <xdr:rowOff>9525</xdr:rowOff>
    </xdr:from>
    <xdr:ext cx="452438" cy="41671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7159FCD-C8F0-44B6-8F67-CB6790A72E4A}"/>
                </a:ext>
              </a:extLst>
            </xdr:cNvPr>
            <xdr:cNvSpPr txBox="1"/>
          </xdr:nvSpPr>
          <xdr:spPr>
            <a:xfrm>
              <a:off x="1164432" y="43910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17159FCD-C8F0-44B6-8F67-CB6790A72E4A}"/>
                </a:ext>
              </a:extLst>
            </xdr:cNvPr>
            <xdr:cNvSpPr txBox="1"/>
          </xdr:nvSpPr>
          <xdr:spPr>
            <a:xfrm>
              <a:off x="1164432" y="43910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16</xdr:col>
      <xdr:colOff>0</xdr:colOff>
      <xdr:row>25</xdr:row>
      <xdr:rowOff>0</xdr:rowOff>
    </xdr:from>
    <xdr:to>
      <xdr:col>25</xdr:col>
      <xdr:colOff>212406</xdr:colOff>
      <xdr:row>45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4C5A4AED-E8D6-4CB2-BD04-BCAF11CF84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178594</xdr:rowOff>
    </xdr:from>
    <xdr:to>
      <xdr:col>12</xdr:col>
      <xdr:colOff>476249</xdr:colOff>
      <xdr:row>35</xdr:row>
      <xdr:rowOff>178594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552FA94-1C28-441E-980F-44A11623F8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11907</xdr:colOff>
      <xdr:row>16</xdr:row>
      <xdr:rowOff>47625</xdr:rowOff>
    </xdr:from>
    <xdr:ext cx="452438" cy="41671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68A7FAC-AA43-4DA6-ADDA-7B772BCC3567}"/>
                </a:ext>
              </a:extLst>
            </xdr:cNvPr>
            <xdr:cNvSpPr txBox="1"/>
          </xdr:nvSpPr>
          <xdr:spPr>
            <a:xfrm>
              <a:off x="3069432" y="30956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68A7FAC-AA43-4DA6-ADDA-7B772BCC3567}"/>
                </a:ext>
              </a:extLst>
            </xdr:cNvPr>
            <xdr:cNvSpPr txBox="1"/>
          </xdr:nvSpPr>
          <xdr:spPr>
            <a:xfrm>
              <a:off x="3069432" y="30956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76;&#1085;&#1089;/Desktop/2313%20Gafurov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vs/Desktop/1%20&#1083;&#1072;&#1073;&#1072;%20&#1052;&#1057;&#105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еявная схема"/>
      <sheetName val="явная схема"/>
      <sheetName val="Лист3"/>
    </sheetNames>
    <sheetDataSet>
      <sheetData sheetId="0">
        <row r="11">
          <cell r="F11">
            <v>0</v>
          </cell>
          <cell r="G11">
            <v>3.3333333333333335E-3</v>
          </cell>
          <cell r="H11">
            <v>6.6666666666666671E-3</v>
          </cell>
          <cell r="I11">
            <v>0.01</v>
          </cell>
          <cell r="J11">
            <v>1.3333333333333334E-2</v>
          </cell>
          <cell r="K11">
            <v>1.6666666666666666E-2</v>
          </cell>
          <cell r="L11">
            <v>0.02</v>
          </cell>
          <cell r="M11">
            <v>2.3333333333333334E-2</v>
          </cell>
          <cell r="N11">
            <v>2.6666666666666668E-2</v>
          </cell>
          <cell r="O11">
            <v>3.0000000000000002E-2</v>
          </cell>
          <cell r="P11">
            <v>3.3333333333333333E-2</v>
          </cell>
          <cell r="Q11">
            <v>3.6666666666666667E-2</v>
          </cell>
          <cell r="R11">
            <v>0.04</v>
          </cell>
          <cell r="S11">
            <v>4.3333333333333335E-2</v>
          </cell>
          <cell r="T11">
            <v>4.6666666666666669E-2</v>
          </cell>
          <cell r="U11">
            <v>0.05</v>
          </cell>
          <cell r="V11">
            <v>5.3333333333333337E-2</v>
          </cell>
          <cell r="W11">
            <v>5.6666666666666671E-2</v>
          </cell>
          <cell r="X11">
            <v>6.0000000000000005E-2</v>
          </cell>
          <cell r="Y11">
            <v>6.3333333333333339E-2</v>
          </cell>
          <cell r="Z11">
            <v>6.6666666666666666E-2</v>
          </cell>
          <cell r="AA11">
            <v>6.9999999999999993E-2</v>
          </cell>
          <cell r="AB11">
            <v>7.333333333333332E-2</v>
          </cell>
          <cell r="AC11">
            <v>7.6666666666666647E-2</v>
          </cell>
          <cell r="AD11">
            <v>7.9999999999999974E-2</v>
          </cell>
          <cell r="AE11">
            <v>8.3333333333333301E-2</v>
          </cell>
          <cell r="AF11">
            <v>8.6666666666666628E-2</v>
          </cell>
          <cell r="AG11">
            <v>8.9999999999999955E-2</v>
          </cell>
          <cell r="AH11">
            <v>9.3333333333333282E-2</v>
          </cell>
          <cell r="AI11">
            <v>9.6666666666666609E-2</v>
          </cell>
          <cell r="AJ11">
            <v>9.9999999999999936E-2</v>
          </cell>
        </row>
        <row r="12">
          <cell r="F12">
            <v>300</v>
          </cell>
          <cell r="G12">
            <v>280.20114262798575</v>
          </cell>
          <cell r="H12">
            <v>260.57053452366904</v>
          </cell>
          <cell r="I12">
            <v>241.27335396752636</v>
          </cell>
          <cell r="J12">
            <v>222.46874067679317</v>
          </cell>
          <cell r="K12">
            <v>204.30702925674697</v>
          </cell>
          <cell r="L12">
            <v>186.92727013670742</v>
          </cell>
          <cell r="M12">
            <v>170.45510875086381</v>
          </cell>
          <cell r="N12">
            <v>155.00107463428773</v>
          </cell>
          <cell r="O12">
            <v>140.65931099015722</v>
          </cell>
          <cell r="P12">
            <v>127.5067536180474</v>
          </cell>
          <cell r="Q12">
            <v>115.60274732960713</v>
          </cell>
          <cell r="R12">
            <v>104.98906943559072</v>
          </cell>
          <cell r="S12">
            <v>95.690314648076594</v>
          </cell>
          <cell r="T12">
            <v>87.714584570723446</v>
          </cell>
          <cell r="U12">
            <v>81.054418255410752</v>
          </cell>
          <cell r="V12">
            <v>75.68789812172092</v>
          </cell>
          <cell r="W12">
            <v>71.579867553261167</v>
          </cell>
          <cell r="X12">
            <v>68.68320209085141</v>
          </cell>
          <cell r="Y12">
            <v>66.940084503407604</v>
          </cell>
          <cell r="Z12">
            <v>66.283244166503039</v>
          </cell>
          <cell r="AA12">
            <v>66.637132112902975</v>
          </cell>
          <cell r="AB12">
            <v>67.919013891339318</v>
          </cell>
          <cell r="AC12">
            <v>70.039972168091296</v>
          </cell>
          <cell r="AD12">
            <v>72.905819217013814</v>
          </cell>
          <cell r="AE12">
            <v>76.417925689672472</v>
          </cell>
          <cell r="AF12">
            <v>80.473976208137344</v>
          </cell>
          <cell r="AG12">
            <v>84.968664482862408</v>
          </cell>
          <cell r="AH12">
            <v>89.794341128753075</v>
          </cell>
          <cell r="AI12">
            <v>94.841626578966242</v>
          </cell>
          <cell r="AJ12">
            <v>100</v>
          </cell>
        </row>
      </sheetData>
      <sheetData sheetId="1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293.31150923474934</v>
          </cell>
          <cell r="H13">
            <v>286.62301846949873</v>
          </cell>
          <cell r="I13">
            <v>279.93548152208052</v>
          </cell>
          <cell r="J13">
            <v>273.24794457466231</v>
          </cell>
          <cell r="K13">
            <v>266.56227357649266</v>
          </cell>
          <cell r="L13">
            <v>259.87660257832295</v>
          </cell>
          <cell r="M13">
            <v>253.1936281098817</v>
          </cell>
          <cell r="N13">
            <v>246.51065364144046</v>
          </cell>
          <cell r="O13">
            <v>239.83108843191883</v>
          </cell>
          <cell r="P13">
            <v>233.15152322239717</v>
          </cell>
          <cell r="Q13">
            <v>226.47593100001174</v>
          </cell>
          <cell r="R13">
            <v>219.80033877762631</v>
          </cell>
          <cell r="S13">
            <v>213.12910963199113</v>
          </cell>
          <cell r="T13">
            <v>206.45788048635592</v>
          </cell>
          <cell r="U13">
            <v>199.79121381969446</v>
          </cell>
          <cell r="V13">
            <v>193.12454715303301</v>
          </cell>
          <cell r="W13">
            <v>186.46244296534442</v>
          </cell>
          <cell r="X13">
            <v>179.80033877765584</v>
          </cell>
          <cell r="Y13">
            <v>173.14259766671492</v>
          </cell>
          <cell r="Z13">
            <v>166.484856555774</v>
          </cell>
          <cell r="AA13">
            <v>159.83108843196555</v>
          </cell>
          <cell r="AB13">
            <v>153.17732030815708</v>
          </cell>
          <cell r="AC13">
            <v>146.52696144326387</v>
          </cell>
          <cell r="AD13">
            <v>139.87660257837069</v>
          </cell>
          <cell r="AE13">
            <v>133.22894024320181</v>
          </cell>
          <cell r="AF13">
            <v>126.58127790803294</v>
          </cell>
          <cell r="AG13">
            <v>119.93548152210937</v>
          </cell>
          <cell r="AH13">
            <v>113.28968513618581</v>
          </cell>
          <cell r="AI13">
            <v>0</v>
          </cell>
          <cell r="AJ13">
            <v>100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293.28624346693624</v>
          </cell>
          <cell r="H13">
            <v>286.57351596044163</v>
          </cell>
          <cell r="I13">
            <v>279.86078845394701</v>
          </cell>
          <cell r="J13">
            <v>273.15110305375981</v>
          </cell>
          <cell r="K13">
            <v>266.44141765357256</v>
          </cell>
          <cell r="L13">
            <v>259.73665448478408</v>
          </cell>
          <cell r="M13">
            <v>253.03189131599561</v>
          </cell>
          <cell r="N13">
            <v>246.33371537856041</v>
          </cell>
          <cell r="O13">
            <v>239.63553944112522</v>
          </cell>
          <cell r="P13">
            <v>232.9453278413726</v>
          </cell>
          <cell r="Q13">
            <v>226.25511624161999</v>
          </cell>
          <cell r="R13">
            <v>219.57389800609968</v>
          </cell>
          <cell r="S13">
            <v>212.89267977057938</v>
          </cell>
          <cell r="T13">
            <v>206.22109087266466</v>
          </cell>
          <cell r="U13">
            <v>199.54950197474994</v>
          </cell>
          <cell r="V13">
            <v>192.88775753955161</v>
          </cell>
          <cell r="W13">
            <v>186.22601310435331</v>
          </cell>
          <cell r="X13">
            <v>179.57389800672252</v>
          </cell>
          <cell r="Y13">
            <v>172.92178290909169</v>
          </cell>
          <cell r="Z13">
            <v>166.2786611756236</v>
          </cell>
          <cell r="AA13">
            <v>159.6355394421555</v>
          </cell>
          <cell r="AB13">
            <v>153.00038204628092</v>
          </cell>
          <cell r="AC13">
            <v>146.36522465040633</v>
          </cell>
          <cell r="AD13">
            <v>139.73665448579186</v>
          </cell>
          <cell r="AE13">
            <v>133.10808432117742</v>
          </cell>
          <cell r="AF13">
            <v>126.48443638788059</v>
          </cell>
          <cell r="AG13">
            <v>119.86078845458377</v>
          </cell>
          <cell r="AH13">
            <v>113.24018262753927</v>
          </cell>
          <cell r="AI13">
            <v>106.61957680049478</v>
          </cell>
          <cell r="AJ13">
            <v>100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2BB21-8D57-429F-9108-06B8AD958F33}">
  <dimension ref="A1:AK46"/>
  <sheetViews>
    <sheetView tabSelected="1" topLeftCell="A5" zoomScale="60" zoomScaleNormal="60" workbookViewId="0">
      <selection activeCell="L33" sqref="L33"/>
    </sheetView>
  </sheetViews>
  <sheetFormatPr defaultRowHeight="15" x14ac:dyDescent="0.25"/>
  <sheetData>
    <row r="1" spans="1:37" x14ac:dyDescent="0.25">
      <c r="A1" s="1"/>
      <c r="B1" s="2" t="s">
        <v>0</v>
      </c>
      <c r="C1" s="2">
        <v>0.1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x14ac:dyDescent="0.25">
      <c r="A2" s="1"/>
      <c r="B2" s="2" t="s">
        <v>1</v>
      </c>
      <c r="C2" s="3">
        <f>C1/30</f>
        <v>3.3333333333333335E-3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x14ac:dyDescent="0.25">
      <c r="A3" s="1"/>
      <c r="B3" s="2" t="s">
        <v>3</v>
      </c>
      <c r="C3" s="3">
        <v>60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25">
      <c r="A4" s="1"/>
      <c r="B4" s="2" t="s">
        <v>2</v>
      </c>
      <c r="C4" s="7">
        <f>(C8*C7*C2^2)/(2*C9)</f>
        <v>0.4333333333333334</v>
      </c>
      <c r="D4" s="1">
        <v>60.233333333333341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x14ac:dyDescent="0.25">
      <c r="A5" s="1"/>
      <c r="B5" s="5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x14ac:dyDescent="0.25">
      <c r="A7" s="1"/>
      <c r="B7" s="2" t="s">
        <v>4</v>
      </c>
      <c r="C7" s="2">
        <v>460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x14ac:dyDescent="0.25">
      <c r="A8" s="1"/>
      <c r="B8" s="2" t="s">
        <v>5</v>
      </c>
      <c r="C8" s="2">
        <v>7800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1"/>
      <c r="B9" s="2" t="s">
        <v>6</v>
      </c>
      <c r="C9" s="2">
        <v>46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7" x14ac:dyDescent="0.25">
      <c r="A10" s="1"/>
      <c r="B10" s="5"/>
      <c r="C10" s="5"/>
      <c r="D10" s="1"/>
      <c r="E10" s="1"/>
      <c r="F10" s="2">
        <v>1</v>
      </c>
      <c r="G10" s="2">
        <v>2</v>
      </c>
      <c r="H10" s="2">
        <v>3</v>
      </c>
      <c r="I10" s="2">
        <v>4</v>
      </c>
      <c r="J10" s="2">
        <v>5</v>
      </c>
      <c r="K10" s="2">
        <v>6</v>
      </c>
      <c r="L10" s="2">
        <v>7</v>
      </c>
      <c r="M10" s="2">
        <v>8</v>
      </c>
      <c r="N10" s="2">
        <v>9</v>
      </c>
      <c r="O10" s="2">
        <v>10</v>
      </c>
      <c r="P10" s="2">
        <v>11</v>
      </c>
      <c r="Q10" s="2">
        <v>12</v>
      </c>
      <c r="R10" s="2">
        <v>13</v>
      </c>
      <c r="S10" s="2">
        <v>14</v>
      </c>
      <c r="T10" s="2">
        <v>15</v>
      </c>
      <c r="U10" s="2">
        <v>16</v>
      </c>
      <c r="V10" s="2">
        <v>17</v>
      </c>
      <c r="W10" s="2">
        <v>18</v>
      </c>
      <c r="X10" s="2">
        <v>19</v>
      </c>
      <c r="Y10" s="2">
        <v>20</v>
      </c>
      <c r="Z10" s="2">
        <v>21</v>
      </c>
      <c r="AA10" s="2">
        <v>22</v>
      </c>
      <c r="AB10" s="2">
        <v>23</v>
      </c>
      <c r="AC10" s="2">
        <v>24</v>
      </c>
      <c r="AD10" s="2">
        <v>25</v>
      </c>
      <c r="AE10" s="2">
        <v>26</v>
      </c>
      <c r="AF10" s="2">
        <v>27</v>
      </c>
      <c r="AG10" s="2">
        <v>28</v>
      </c>
      <c r="AH10" s="2">
        <v>29</v>
      </c>
      <c r="AI10" s="2">
        <v>30</v>
      </c>
      <c r="AJ10" s="2">
        <v>31</v>
      </c>
      <c r="AK10" s="1"/>
    </row>
    <row r="11" spans="1:37" x14ac:dyDescent="0.25">
      <c r="A11" s="1"/>
      <c r="B11" s="1"/>
      <c r="C11" s="1"/>
      <c r="D11" s="1"/>
      <c r="E11" s="1" t="s">
        <v>0</v>
      </c>
      <c r="F11" s="4">
        <v>0</v>
      </c>
      <c r="G11" s="4">
        <f>F11+$C$2</f>
        <v>3.3333333333333335E-3</v>
      </c>
      <c r="H11" s="4">
        <f t="shared" ref="H11:AJ11" si="0">G11+$C$2</f>
        <v>6.6666666666666671E-3</v>
      </c>
      <c r="I11" s="4">
        <f t="shared" si="0"/>
        <v>0.01</v>
      </c>
      <c r="J11" s="4">
        <f t="shared" si="0"/>
        <v>1.3333333333333334E-2</v>
      </c>
      <c r="K11" s="4">
        <f t="shared" si="0"/>
        <v>1.6666666666666666E-2</v>
      </c>
      <c r="L11" s="4">
        <f t="shared" si="0"/>
        <v>0.02</v>
      </c>
      <c r="M11" s="4">
        <f t="shared" si="0"/>
        <v>2.3333333333333334E-2</v>
      </c>
      <c r="N11" s="4">
        <f t="shared" si="0"/>
        <v>2.6666666666666668E-2</v>
      </c>
      <c r="O11" s="4">
        <f t="shared" si="0"/>
        <v>3.0000000000000002E-2</v>
      </c>
      <c r="P11" s="4">
        <f t="shared" si="0"/>
        <v>3.3333333333333333E-2</v>
      </c>
      <c r="Q11" s="4">
        <f t="shared" si="0"/>
        <v>3.6666666666666667E-2</v>
      </c>
      <c r="R11" s="4">
        <f t="shared" si="0"/>
        <v>0.04</v>
      </c>
      <c r="S11" s="4">
        <f t="shared" si="0"/>
        <v>4.3333333333333335E-2</v>
      </c>
      <c r="T11" s="4">
        <f t="shared" si="0"/>
        <v>4.6666666666666669E-2</v>
      </c>
      <c r="U11" s="4">
        <f t="shared" si="0"/>
        <v>0.05</v>
      </c>
      <c r="V11" s="4">
        <f t="shared" si="0"/>
        <v>5.3333333333333337E-2</v>
      </c>
      <c r="W11" s="4">
        <f t="shared" si="0"/>
        <v>5.6666666666666671E-2</v>
      </c>
      <c r="X11" s="4">
        <f t="shared" si="0"/>
        <v>6.0000000000000005E-2</v>
      </c>
      <c r="Y11" s="4">
        <f t="shared" si="0"/>
        <v>6.3333333333333339E-2</v>
      </c>
      <c r="Z11" s="4">
        <f t="shared" si="0"/>
        <v>6.6666666666666666E-2</v>
      </c>
      <c r="AA11" s="4">
        <f t="shared" si="0"/>
        <v>6.9999999999999993E-2</v>
      </c>
      <c r="AB11" s="4">
        <f t="shared" si="0"/>
        <v>7.333333333333332E-2</v>
      </c>
      <c r="AC11" s="4">
        <f t="shared" si="0"/>
        <v>7.6666666666666647E-2</v>
      </c>
      <c r="AD11" s="4">
        <f t="shared" si="0"/>
        <v>7.9999999999999974E-2</v>
      </c>
      <c r="AE11" s="4">
        <f t="shared" si="0"/>
        <v>8.3333333333333301E-2</v>
      </c>
      <c r="AF11" s="4">
        <f t="shared" si="0"/>
        <v>8.6666666666666628E-2</v>
      </c>
      <c r="AG11" s="4">
        <f t="shared" si="0"/>
        <v>8.9999999999999955E-2</v>
      </c>
      <c r="AH11" s="4">
        <f t="shared" si="0"/>
        <v>9.3333333333333282E-2</v>
      </c>
      <c r="AI11" s="4">
        <f t="shared" si="0"/>
        <v>9.6666666666666609E-2</v>
      </c>
      <c r="AJ11" s="4">
        <f t="shared" si="0"/>
        <v>9.9999999999999936E-2</v>
      </c>
      <c r="AK11" s="1"/>
    </row>
    <row r="12" spans="1:37" x14ac:dyDescent="0.25">
      <c r="A12" s="1"/>
      <c r="B12" s="2" t="s">
        <v>8</v>
      </c>
      <c r="C12" s="2">
        <v>300</v>
      </c>
      <c r="D12" s="1"/>
      <c r="E12" s="1" t="s">
        <v>7</v>
      </c>
      <c r="F12" s="5">
        <v>300</v>
      </c>
      <c r="G12" s="5">
        <v>280.20114262798575</v>
      </c>
      <c r="H12" s="5">
        <v>260.57053452366904</v>
      </c>
      <c r="I12" s="5">
        <v>241.27335396752636</v>
      </c>
      <c r="J12" s="5">
        <v>222.46874067679317</v>
      </c>
      <c r="K12" s="5">
        <v>204.30702925674697</v>
      </c>
      <c r="L12" s="5">
        <v>186.92727013670742</v>
      </c>
      <c r="M12" s="5">
        <v>170.45510875086381</v>
      </c>
      <c r="N12" s="5">
        <v>155.00107463428773</v>
      </c>
      <c r="O12" s="5">
        <v>140.65931099015722</v>
      </c>
      <c r="P12" s="5">
        <v>127.5067536180474</v>
      </c>
      <c r="Q12" s="5">
        <v>115.60274732960713</v>
      </c>
      <c r="R12" s="5">
        <v>104.98906943559072</v>
      </c>
      <c r="S12" s="5">
        <v>95.690314648076594</v>
      </c>
      <c r="T12" s="5">
        <v>87.714584570723446</v>
      </c>
      <c r="U12" s="5">
        <v>81.054418255410752</v>
      </c>
      <c r="V12" s="5">
        <v>75.68789812172092</v>
      </c>
      <c r="W12" s="5">
        <v>71.579867553261167</v>
      </c>
      <c r="X12" s="5">
        <v>68.68320209085141</v>
      </c>
      <c r="Y12" s="5">
        <v>66.940084503407604</v>
      </c>
      <c r="Z12" s="5">
        <v>66.283244166503039</v>
      </c>
      <c r="AA12" s="5">
        <v>66.637132112902975</v>
      </c>
      <c r="AB12" s="5">
        <v>67.919013891339318</v>
      </c>
      <c r="AC12" s="5">
        <v>70.039972168091296</v>
      </c>
      <c r="AD12" s="5">
        <v>72.905819217013814</v>
      </c>
      <c r="AE12" s="5">
        <v>76.417925689672472</v>
      </c>
      <c r="AF12" s="5">
        <v>80.473976208137344</v>
      </c>
      <c r="AG12" s="5">
        <v>84.968664482862408</v>
      </c>
      <c r="AH12" s="5">
        <v>89.794341128753075</v>
      </c>
      <c r="AI12" s="5">
        <v>94.841626578966242</v>
      </c>
      <c r="AJ12" s="5">
        <v>100</v>
      </c>
      <c r="AK12" s="1"/>
    </row>
    <row r="13" spans="1:37" x14ac:dyDescent="0.25">
      <c r="A13" s="1"/>
      <c r="B13" s="2" t="s">
        <v>9</v>
      </c>
      <c r="C13" s="2">
        <v>100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x14ac:dyDescent="0.25">
      <c r="A14" s="1"/>
      <c r="B14" s="1"/>
      <c r="C14" s="1"/>
      <c r="D14" s="1"/>
      <c r="E14" s="1" t="s">
        <v>10</v>
      </c>
      <c r="F14" s="1"/>
      <c r="G14" s="5">
        <f t="shared" ref="G14:AH14" si="1">G18*H14+G19</f>
        <v>280.28451209215399</v>
      </c>
      <c r="H14" s="5">
        <f t="shared" si="1"/>
        <v>260.73576311264441</v>
      </c>
      <c r="I14" s="5">
        <f t="shared" si="1"/>
        <v>241.51747131108542</v>
      </c>
      <c r="J14" s="5">
        <f t="shared" si="1"/>
        <v>222.78741419664442</v>
      </c>
      <c r="K14" s="5">
        <f t="shared" si="1"/>
        <v>204.69470412190589</v>
      </c>
      <c r="L14" s="5">
        <f t="shared" si="1"/>
        <v>187.37734377748521</v>
      </c>
      <c r="M14" s="5">
        <f t="shared" si="1"/>
        <v>170.96013071462008</v>
      </c>
      <c r="N14" s="5">
        <f t="shared" si="1"/>
        <v>155.55296157926747</v>
      </c>
      <c r="O14" s="5">
        <f t="shared" si="1"/>
        <v>141.24956633387433</v>
      </c>
      <c r="P14" s="5">
        <f t="shared" si="1"/>
        <v>128.12668177591533</v>
      </c>
      <c r="Q14" s="5">
        <f t="shared" si="1"/>
        <v>116.24365353369214</v>
      </c>
      <c r="R14" s="5">
        <f t="shared" si="1"/>
        <v>105.64243769963892</v>
      </c>
      <c r="S14" s="5">
        <f t="shared" si="1"/>
        <v>96.347958393682063</v>
      </c>
      <c r="T14" s="5">
        <f t="shared" si="1"/>
        <v>88.368766578936132</v>
      </c>
      <c r="U14" s="5">
        <f t="shared" si="1"/>
        <v>81.697938780615559</v>
      </c>
      <c r="V14" s="5">
        <f t="shared" si="1"/>
        <v>76.314152032704555</v>
      </c>
      <c r="W14" s="5">
        <f t="shared" si="1"/>
        <v>72.182873106760752</v>
      </c>
      <c r="X14" s="5">
        <f t="shared" si="1"/>
        <v>69.257605287816148</v>
      </c>
      <c r="Y14" s="5">
        <f t="shared" si="1"/>
        <v>67.481143862800991</v>
      </c>
      <c r="Z14" s="5">
        <f t="shared" si="1"/>
        <v>66.786801156572579</v>
      </c>
      <c r="AA14" s="5">
        <f t="shared" si="1"/>
        <v>67.099572430483207</v>
      </c>
      <c r="AB14" s="5">
        <f t="shared" si="1"/>
        <v>68.337224339554268</v>
      </c>
      <c r="AC14" s="5">
        <f t="shared" si="1"/>
        <v>70.411297145055215</v>
      </c>
      <c r="AD14" s="5">
        <f t="shared" si="1"/>
        <v>73.228019904484</v>
      </c>
      <c r="AE14" s="5">
        <f t="shared" si="1"/>
        <v>76.689144038853158</v>
      </c>
      <c r="AF14" s="5">
        <f t="shared" si="1"/>
        <v>80.692704871583686</v>
      </c>
      <c r="AG14" s="5">
        <f t="shared" si="1"/>
        <v>85.13372303120687</v>
      </c>
      <c r="AH14" s="5">
        <f t="shared" si="1"/>
        <v>89.904858287518977</v>
      </c>
      <c r="AI14" s="5">
        <f>AI18*AJ14+AI19</f>
        <v>94.897027861362858</v>
      </c>
      <c r="AJ14" s="5">
        <f>AJ12</f>
        <v>100</v>
      </c>
      <c r="AK14" s="1"/>
    </row>
    <row r="15" spans="1:37" x14ac:dyDescent="0.25">
      <c r="A15" s="1"/>
      <c r="B15" s="1" t="s">
        <v>11</v>
      </c>
      <c r="C15" s="1">
        <f>C9/(C2^2)</f>
        <v>4139999.9999999991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x14ac:dyDescent="0.25">
      <c r="A16" s="1"/>
      <c r="B16" s="1" t="s">
        <v>12</v>
      </c>
      <c r="C16" s="1">
        <f>(2*C9)/(C2^2)+(C8*C7)/C4</f>
        <v>16559999.999999996</v>
      </c>
      <c r="D16" s="1"/>
      <c r="E16" s="1" t="s">
        <v>14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x14ac:dyDescent="0.25">
      <c r="A17" s="1"/>
      <c r="B17" s="1" t="s">
        <v>13</v>
      </c>
      <c r="C17" s="1">
        <f>C15</f>
        <v>4139999.9999999991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x14ac:dyDescent="0.25">
      <c r="A18" s="1"/>
      <c r="B18" s="1"/>
      <c r="C18" s="1"/>
      <c r="D18" s="1"/>
      <c r="E18" s="1" t="s">
        <v>16</v>
      </c>
      <c r="F18" s="1">
        <v>0</v>
      </c>
      <c r="G18" s="1">
        <f>$C$15/($C$16-$C$17*F18)</f>
        <v>0.25</v>
      </c>
      <c r="H18" s="1">
        <f t="shared" ref="H18:AI18" si="2">$C$15/($C$16-$C$17*G18)</f>
        <v>0.26666666666666666</v>
      </c>
      <c r="I18" s="1">
        <f t="shared" si="2"/>
        <v>0.26785714285714285</v>
      </c>
      <c r="J18" s="1">
        <f t="shared" si="2"/>
        <v>0.26794258373205743</v>
      </c>
      <c r="K18" s="1">
        <f t="shared" si="2"/>
        <v>0.26794871794871794</v>
      </c>
      <c r="L18" s="1">
        <f t="shared" si="2"/>
        <v>0.26794915836482308</v>
      </c>
      <c r="M18" s="1">
        <f t="shared" si="2"/>
        <v>0.26794918998527245</v>
      </c>
      <c r="N18" s="1">
        <f t="shared" si="2"/>
        <v>0.26794919225551855</v>
      </c>
      <c r="O18" s="1">
        <f t="shared" si="2"/>
        <v>0.26794919241851489</v>
      </c>
      <c r="P18" s="1">
        <f t="shared" si="2"/>
        <v>0.26794919243021753</v>
      </c>
      <c r="Q18" s="1">
        <f t="shared" si="2"/>
        <v>0.26794919243105775</v>
      </c>
      <c r="R18" s="1">
        <f t="shared" si="2"/>
        <v>0.26794919243111803</v>
      </c>
      <c r="S18" s="1">
        <f t="shared" si="2"/>
        <v>0.26794919243112236</v>
      </c>
      <c r="T18" s="1">
        <f t="shared" si="2"/>
        <v>0.2679491924311227</v>
      </c>
      <c r="U18" s="1">
        <f t="shared" si="2"/>
        <v>0.2679491924311227</v>
      </c>
      <c r="V18" s="1">
        <f t="shared" si="2"/>
        <v>0.2679491924311227</v>
      </c>
      <c r="W18" s="1">
        <f t="shared" si="2"/>
        <v>0.2679491924311227</v>
      </c>
      <c r="X18" s="1">
        <f t="shared" si="2"/>
        <v>0.2679491924311227</v>
      </c>
      <c r="Y18" s="1">
        <f t="shared" si="2"/>
        <v>0.2679491924311227</v>
      </c>
      <c r="Z18" s="1">
        <f t="shared" si="2"/>
        <v>0.2679491924311227</v>
      </c>
      <c r="AA18" s="1">
        <f t="shared" si="2"/>
        <v>0.2679491924311227</v>
      </c>
      <c r="AB18" s="1">
        <f t="shared" si="2"/>
        <v>0.2679491924311227</v>
      </c>
      <c r="AC18" s="1">
        <f t="shared" si="2"/>
        <v>0.2679491924311227</v>
      </c>
      <c r="AD18" s="1">
        <f t="shared" si="2"/>
        <v>0.2679491924311227</v>
      </c>
      <c r="AE18" s="1">
        <f t="shared" si="2"/>
        <v>0.2679491924311227</v>
      </c>
      <c r="AF18" s="1">
        <f t="shared" si="2"/>
        <v>0.2679491924311227</v>
      </c>
      <c r="AG18" s="1">
        <f t="shared" si="2"/>
        <v>0.2679491924311227</v>
      </c>
      <c r="AH18" s="1">
        <f t="shared" si="2"/>
        <v>0.2679491924311227</v>
      </c>
      <c r="AI18" s="1">
        <f t="shared" si="2"/>
        <v>0.2679491924311227</v>
      </c>
      <c r="AJ18" s="1"/>
      <c r="AK18" s="1"/>
    </row>
    <row r="19" spans="1:37" x14ac:dyDescent="0.25">
      <c r="A19" s="1"/>
      <c r="B19" s="1"/>
      <c r="C19" s="1"/>
      <c r="D19" s="1"/>
      <c r="E19" s="1" t="s">
        <v>17</v>
      </c>
      <c r="F19" s="1">
        <f>F12</f>
        <v>300</v>
      </c>
      <c r="G19" s="1">
        <f>(F19*$C$17-G20)/($C$16-$C$17*F18)</f>
        <v>215.1005713139929</v>
      </c>
      <c r="H19" s="1">
        <f t="shared" ref="H19:AI19" si="3">(G19*$C$17-H20)/($C$16-$C$17*G18)</f>
        <v>196.33110409635498</v>
      </c>
      <c r="I19" s="1">
        <f t="shared" si="3"/>
        <v>181.84227107984137</v>
      </c>
      <c r="J19" s="1">
        <f t="shared" si="3"/>
        <v>167.94098629795192</v>
      </c>
      <c r="K19" s="1">
        <f t="shared" si="3"/>
        <v>154.48718508409254</v>
      </c>
      <c r="L19" s="1">
        <f t="shared" si="3"/>
        <v>141.56872063856261</v>
      </c>
      <c r="M19" s="1">
        <f t="shared" si="3"/>
        <v>129.27984065964515</v>
      </c>
      <c r="N19" s="1">
        <f t="shared" si="3"/>
        <v>117.70525437366356</v>
      </c>
      <c r="O19" s="1">
        <f t="shared" si="3"/>
        <v>106.91812542475377</v>
      </c>
      <c r="P19" s="1">
        <f t="shared" si="3"/>
        <v>96.979288686424511</v>
      </c>
      <c r="Q19" s="1">
        <f t="shared" si="3"/>
        <v>87.936847665625564</v>
      </c>
      <c r="R19" s="1">
        <f t="shared" si="3"/>
        <v>79.826080055664846</v>
      </c>
      <c r="S19" s="1">
        <f t="shared" si="3"/>
        <v>72.669618752721775</v>
      </c>
      <c r="T19" s="1">
        <f t="shared" si="3"/>
        <v>66.477869859382892</v>
      </c>
      <c r="U19" s="1">
        <f t="shared" si="3"/>
        <v>61.249623372386452</v>
      </c>
      <c r="V19" s="1">
        <f t="shared" si="3"/>
        <v>56.972809476389799</v>
      </c>
      <c r="W19" s="1">
        <f t="shared" si="3"/>
        <v>53.625353700176966</v>
      </c>
      <c r="X19" s="1">
        <f t="shared" si="3"/>
        <v>51.176087285450215</v>
      </c>
      <c r="Y19" s="1">
        <f t="shared" si="3"/>
        <v>49.585674427839393</v>
      </c>
      <c r="Z19" s="1">
        <f t="shared" si="3"/>
        <v>48.807524911350974</v>
      </c>
      <c r="AA19" s="1">
        <f t="shared" si="3"/>
        <v>48.788668355715174</v>
      </c>
      <c r="AB19" s="1">
        <f t="shared" si="3"/>
        <v>49.470574131508911</v>
      </c>
      <c r="AC19" s="1">
        <f t="shared" si="3"/>
        <v>50.789908348318555</v>
      </c>
      <c r="AD19" s="1">
        <f t="shared" si="3"/>
        <v>52.679225691039257</v>
      </c>
      <c r="AE19" s="1">
        <f t="shared" si="3"/>
        <v>55.067598933429394</v>
      </c>
      <c r="AF19" s="1">
        <f t="shared" si="3"/>
        <v>57.881192536716931</v>
      </c>
      <c r="AG19" s="1">
        <f t="shared" si="3"/>
        <v>61.043788857431636</v>
      </c>
      <c r="AH19" s="1">
        <f t="shared" si="3"/>
        <v>64.477276307953048</v>
      </c>
      <c r="AI19" s="1">
        <f t="shared" si="3"/>
        <v>68.102108618250597</v>
      </c>
      <c r="AJ19" s="1"/>
      <c r="AK19" s="1"/>
    </row>
    <row r="20" spans="1:37" x14ac:dyDescent="0.25">
      <c r="A20" s="1"/>
      <c r="B20" s="1"/>
      <c r="C20" s="1"/>
      <c r="D20" s="1"/>
      <c r="E20" s="1" t="s">
        <v>15</v>
      </c>
      <c r="F20" s="1">
        <f>-(($C$8*$C$7)/$C$4)*F12</f>
        <v>-2483999999.9999995</v>
      </c>
      <c r="G20" s="1">
        <f t="shared" ref="G20:AI20" si="4">-(($C$8*$C$7)/$C$4)*G12</f>
        <v>-2320065460.9597216</v>
      </c>
      <c r="H20" s="1">
        <f t="shared" si="4"/>
        <v>-2157524025.8559794</v>
      </c>
      <c r="I20" s="1">
        <f t="shared" si="4"/>
        <v>-1997743370.8511181</v>
      </c>
      <c r="J20" s="1">
        <f t="shared" si="4"/>
        <v>-1842041172.8038473</v>
      </c>
      <c r="K20" s="1">
        <f t="shared" si="4"/>
        <v>-1691662202.2458646</v>
      </c>
      <c r="L20" s="1">
        <f t="shared" si="4"/>
        <v>-1547757796.7319372</v>
      </c>
      <c r="M20" s="1">
        <f t="shared" si="4"/>
        <v>-1411368300.4571521</v>
      </c>
      <c r="N20" s="1">
        <f t="shared" si="4"/>
        <v>-1283408897.9719024</v>
      </c>
      <c r="O20" s="1">
        <f t="shared" si="4"/>
        <v>-1164659094.9985018</v>
      </c>
      <c r="P20" s="1">
        <f t="shared" si="4"/>
        <v>-1055755919.9574324</v>
      </c>
      <c r="Q20" s="1">
        <f t="shared" si="4"/>
        <v>-957190747.88914692</v>
      </c>
      <c r="R20" s="1">
        <f t="shared" si="4"/>
        <v>-869309494.92669106</v>
      </c>
      <c r="S20" s="1">
        <f t="shared" si="4"/>
        <v>-792315805.28607416</v>
      </c>
      <c r="T20" s="1">
        <f t="shared" si="4"/>
        <v>-726276760.24559009</v>
      </c>
      <c r="U20" s="1">
        <f t="shared" si="4"/>
        <v>-671130583.15480101</v>
      </c>
      <c r="V20" s="1">
        <f t="shared" si="4"/>
        <v>-626695796.44784915</v>
      </c>
      <c r="W20" s="1">
        <f t="shared" si="4"/>
        <v>-592681303.34100235</v>
      </c>
      <c r="X20" s="1">
        <f t="shared" si="4"/>
        <v>-568696913.31224966</v>
      </c>
      <c r="Y20" s="1">
        <f t="shared" si="4"/>
        <v>-554263899.6882149</v>
      </c>
      <c r="Z20" s="1">
        <f t="shared" si="4"/>
        <v>-548825261.69864511</v>
      </c>
      <c r="AA20" s="1">
        <f t="shared" si="4"/>
        <v>-551755453.89483654</v>
      </c>
      <c r="AB20" s="1">
        <f t="shared" si="4"/>
        <v>-562369435.02028954</v>
      </c>
      <c r="AC20" s="1">
        <f t="shared" si="4"/>
        <v>-579930969.55179584</v>
      </c>
      <c r="AD20" s="1">
        <f t="shared" si="4"/>
        <v>-603660183.11687434</v>
      </c>
      <c r="AE20" s="1">
        <f t="shared" si="4"/>
        <v>-632740424.71048796</v>
      </c>
      <c r="AF20" s="1">
        <f t="shared" si="4"/>
        <v>-666324523.00337708</v>
      </c>
      <c r="AG20" s="1">
        <f t="shared" si="4"/>
        <v>-703540541.91810071</v>
      </c>
      <c r="AH20" s="1">
        <f t="shared" si="4"/>
        <v>-743497144.54607534</v>
      </c>
      <c r="AI20" s="1">
        <f t="shared" si="4"/>
        <v>-785288668.07384038</v>
      </c>
      <c r="AJ20" s="1"/>
      <c r="AK20" s="1"/>
    </row>
    <row r="21" spans="1:3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38CBD-D23D-4800-A361-1B01E4FB1ED4}">
  <dimension ref="A1:AK40"/>
  <sheetViews>
    <sheetView workbookViewId="0">
      <selection activeCell="D18" sqref="D18"/>
    </sheetView>
  </sheetViews>
  <sheetFormatPr defaultRowHeight="15" x14ac:dyDescent="0.25"/>
  <sheetData>
    <row r="1" spans="1:3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x14ac:dyDescent="0.25">
      <c r="A3" s="1"/>
      <c r="B3" s="2" t="s">
        <v>0</v>
      </c>
      <c r="C3" s="2">
        <v>0.1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25">
      <c r="A4" s="1"/>
      <c r="B4" s="2" t="s">
        <v>1</v>
      </c>
      <c r="C4" s="3">
        <f>C3/30</f>
        <v>3.3333333333333335E-3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x14ac:dyDescent="0.25">
      <c r="A5" s="1"/>
      <c r="B5" s="2" t="s">
        <v>2</v>
      </c>
      <c r="C5" s="3">
        <f>(C9*C8*C4^2)/(2*C10)</f>
        <v>0.4333333333333334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x14ac:dyDescent="0.25">
      <c r="A6" s="1"/>
      <c r="B6" s="2" t="s">
        <v>3</v>
      </c>
      <c r="C6" s="2">
        <v>60</v>
      </c>
      <c r="D6" s="1">
        <v>60.233333333333341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x14ac:dyDescent="0.25">
      <c r="A7" s="1"/>
      <c r="B7" s="5"/>
      <c r="C7" s="5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x14ac:dyDescent="0.25">
      <c r="A8" s="1"/>
      <c r="B8" s="2" t="s">
        <v>4</v>
      </c>
      <c r="C8" s="2">
        <v>460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1"/>
      <c r="B9" s="2" t="s">
        <v>5</v>
      </c>
      <c r="C9" s="2">
        <v>7800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7" x14ac:dyDescent="0.25">
      <c r="A10" s="1"/>
      <c r="B10" s="2" t="s">
        <v>6</v>
      </c>
      <c r="C10" s="2">
        <v>46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x14ac:dyDescent="0.25">
      <c r="A11" s="1"/>
      <c r="B11" s="5"/>
      <c r="C11" s="5"/>
      <c r="D11" s="1"/>
      <c r="E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  <c r="AK11" s="1"/>
    </row>
    <row r="12" spans="1:37" x14ac:dyDescent="0.25">
      <c r="A12" s="1"/>
      <c r="B12" s="2" t="s">
        <v>8</v>
      </c>
      <c r="C12" s="2">
        <v>300</v>
      </c>
      <c r="D12" s="1"/>
      <c r="E12" s="1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  <c r="AK12" s="1"/>
    </row>
    <row r="13" spans="1:37" x14ac:dyDescent="0.25">
      <c r="A13" s="1"/>
      <c r="B13" s="2" t="s">
        <v>9</v>
      </c>
      <c r="C13" s="2">
        <v>100</v>
      </c>
      <c r="D13" s="1"/>
      <c r="E13" s="1" t="s">
        <v>7</v>
      </c>
      <c r="F13" s="5">
        <v>300</v>
      </c>
      <c r="G13" s="5">
        <v>293.31150923474934</v>
      </c>
      <c r="H13" s="5">
        <v>286.62301846949873</v>
      </c>
      <c r="I13" s="5">
        <v>279.93548152208052</v>
      </c>
      <c r="J13" s="5">
        <v>273.24794457466231</v>
      </c>
      <c r="K13" s="5">
        <v>266.56227357649266</v>
      </c>
      <c r="L13" s="5">
        <v>259.87660257832295</v>
      </c>
      <c r="M13" s="5">
        <v>253.1936281098817</v>
      </c>
      <c r="N13" s="5">
        <v>246.51065364144046</v>
      </c>
      <c r="O13" s="5">
        <v>239.83108843191883</v>
      </c>
      <c r="P13" s="5">
        <v>233.15152322239717</v>
      </c>
      <c r="Q13" s="5">
        <v>226.47593100001174</v>
      </c>
      <c r="R13" s="5">
        <v>219.80033877762631</v>
      </c>
      <c r="S13" s="5">
        <v>213.12910963199113</v>
      </c>
      <c r="T13" s="5">
        <v>206.45788048635592</v>
      </c>
      <c r="U13" s="5">
        <v>199.79121381969446</v>
      </c>
      <c r="V13" s="5">
        <v>193.12454715303301</v>
      </c>
      <c r="W13" s="5">
        <v>186.46244296534442</v>
      </c>
      <c r="X13" s="5">
        <v>179.80033877765584</v>
      </c>
      <c r="Y13" s="5">
        <v>173.14259766671492</v>
      </c>
      <c r="Z13" s="5">
        <v>166.484856555774</v>
      </c>
      <c r="AA13" s="5">
        <v>159.83108843196555</v>
      </c>
      <c r="AB13" s="5">
        <v>153.17732030815708</v>
      </c>
      <c r="AC13" s="5">
        <v>146.52696144326387</v>
      </c>
      <c r="AD13" s="5">
        <v>139.87660257837069</v>
      </c>
      <c r="AE13" s="5">
        <v>133.22894024320181</v>
      </c>
      <c r="AF13" s="5">
        <v>126.58127790803294</v>
      </c>
      <c r="AG13" s="5">
        <v>119.93548152210937</v>
      </c>
      <c r="AH13" s="5">
        <v>113.28968513618581</v>
      </c>
      <c r="AI13" s="5">
        <v>0</v>
      </c>
      <c r="AJ13" s="5">
        <v>100</v>
      </c>
      <c r="AK13" s="1"/>
    </row>
    <row r="14" spans="1:37" x14ac:dyDescent="0.25">
      <c r="A14" s="1"/>
      <c r="B14" s="6" t="s">
        <v>18</v>
      </c>
      <c r="C14" s="1">
        <v>1000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x14ac:dyDescent="0.25">
      <c r="A15" s="1"/>
      <c r="B15" s="1" t="s">
        <v>19</v>
      </c>
      <c r="C15" s="1">
        <v>392</v>
      </c>
      <c r="D15" s="1"/>
      <c r="E15" s="1" t="s">
        <v>10</v>
      </c>
      <c r="F15" s="1"/>
      <c r="G15" s="5">
        <f>G13+(($C$10*$C$5)/($C$9*$C$8))*((H13-2*G13+F13)/($C$4^2))</f>
        <v>293.31150923474934</v>
      </c>
      <c r="H15" s="5">
        <f t="shared" ref="H15:AI15" si="1">H13+(($C$10*$C$5)/($C$9*$C$8))*((I13-2*H13+G13)/($C$4^2))</f>
        <v>286.62349537841493</v>
      </c>
      <c r="I15" s="5">
        <f t="shared" si="1"/>
        <v>279.93548152208052</v>
      </c>
      <c r="J15" s="5">
        <f t="shared" si="1"/>
        <v>273.24887754928659</v>
      </c>
      <c r="K15" s="5">
        <f t="shared" si="1"/>
        <v>266.56227357649266</v>
      </c>
      <c r="L15" s="5">
        <f t="shared" si="1"/>
        <v>259.87795084318719</v>
      </c>
      <c r="M15" s="5">
        <f t="shared" si="1"/>
        <v>253.1936281098817</v>
      </c>
      <c r="N15" s="5">
        <f t="shared" si="1"/>
        <v>246.51235827090028</v>
      </c>
      <c r="O15" s="5">
        <f t="shared" si="1"/>
        <v>239.83108843191883</v>
      </c>
      <c r="P15" s="5">
        <f t="shared" si="1"/>
        <v>233.1535097159653</v>
      </c>
      <c r="Q15" s="5">
        <f t="shared" si="1"/>
        <v>226.47593100001174</v>
      </c>
      <c r="R15" s="5">
        <f t="shared" si="1"/>
        <v>219.80252031600145</v>
      </c>
      <c r="S15" s="5">
        <f t="shared" si="1"/>
        <v>213.12910963199113</v>
      </c>
      <c r="T15" s="5">
        <f t="shared" si="1"/>
        <v>206.4601617258428</v>
      </c>
      <c r="U15" s="5">
        <f t="shared" si="1"/>
        <v>199.79121381969446</v>
      </c>
      <c r="V15" s="5">
        <f t="shared" si="1"/>
        <v>193.12682839251943</v>
      </c>
      <c r="W15" s="5">
        <f t="shared" si="1"/>
        <v>186.46244296534442</v>
      </c>
      <c r="X15" s="5">
        <f t="shared" si="1"/>
        <v>179.80252031602967</v>
      </c>
      <c r="Y15" s="5">
        <f t="shared" si="1"/>
        <v>173.14259766671492</v>
      </c>
      <c r="Z15" s="5">
        <f t="shared" si="1"/>
        <v>166.48684304934022</v>
      </c>
      <c r="AA15" s="5">
        <f t="shared" si="1"/>
        <v>159.83108843196555</v>
      </c>
      <c r="AB15" s="5">
        <f t="shared" si="1"/>
        <v>153.17902493761471</v>
      </c>
      <c r="AC15" s="5">
        <f t="shared" si="1"/>
        <v>146.52696144326387</v>
      </c>
      <c r="AD15" s="5">
        <f t="shared" si="1"/>
        <v>139.87795084323284</v>
      </c>
      <c r="AE15" s="5">
        <f t="shared" si="1"/>
        <v>133.22894024320181</v>
      </c>
      <c r="AF15" s="5">
        <f t="shared" si="1"/>
        <v>126.58221088265559</v>
      </c>
      <c r="AG15" s="5">
        <f t="shared" si="1"/>
        <v>119.93548152210937</v>
      </c>
      <c r="AH15" s="5">
        <f t="shared" si="1"/>
        <v>59.967740761054685</v>
      </c>
      <c r="AI15" s="5">
        <f t="shared" si="1"/>
        <v>106.64484256809291</v>
      </c>
      <c r="AJ15" s="1"/>
      <c r="AK15" s="1"/>
    </row>
    <row r="16" spans="1:3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днс</dc:creator>
  <cp:lastModifiedBy>днс</cp:lastModifiedBy>
  <dcterms:created xsi:type="dcterms:W3CDTF">2021-09-07T09:31:45Z</dcterms:created>
  <dcterms:modified xsi:type="dcterms:W3CDTF">2021-10-18T14:28:23Z</dcterms:modified>
</cp:coreProperties>
</file>